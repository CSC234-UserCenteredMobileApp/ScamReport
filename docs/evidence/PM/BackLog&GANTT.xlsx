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Gantt Chart" sheetId="2" r:id="rId6"/>
    <sheet state="visible" name="Pages Inventory" sheetId="3" r:id="rId7"/>
    <sheet state="visible" name="Sprint Summary" sheetId="4" r:id="rId8"/>
  </sheets>
  <definedNames/>
  <calcPr/>
</workbook>
</file>

<file path=xl/sharedStrings.xml><?xml version="1.0" encoding="utf-8"?>
<sst xmlns="http://schemas.openxmlformats.org/spreadsheetml/2006/main" count="656" uniqueCount="288">
  <si>
    <t>SCAM REPORT  —  PRODUCT BACKLOG</t>
  </si>
  <si>
    <t>CSC231 Agile Project Management   |   5 Sprints x 1 Week   |   20 Work Packages   |   158 Hours Total (excl. LOE)</t>
  </si>
  <si>
    <t>WBS ID</t>
  </si>
  <si>
    <t>Work Package</t>
  </si>
  <si>
    <t>Phase</t>
  </si>
  <si>
    <t>Priority</t>
  </si>
  <si>
    <t>Est. Hrs</t>
  </si>
  <si>
    <t>Sprint</t>
  </si>
  <si>
    <t>Status</t>
  </si>
  <si>
    <t>Responsible</t>
  </si>
  <si>
    <t>Depends On</t>
  </si>
  <si>
    <t>Description</t>
  </si>
  <si>
    <t>Note</t>
  </si>
  <si>
    <t xml:space="preserve">  SPRINT 1   Week 1   —   Infrastructure and Authentication Backend     |   28 hrs</t>
  </si>
  <si>
    <t>2.1.1</t>
  </si>
  <si>
    <t>PostgreSQL + pgvector</t>
  </si>
  <si>
    <t>Infrastructure</t>
  </si>
  <si>
    <t>High</t>
  </si>
  <si>
    <t>Sprint 1</t>
  </si>
  <si>
    <t>Done</t>
  </si>
  <si>
    <t>A.P / T.P</t>
  </si>
  <si>
    <t>None</t>
  </si>
  <si>
    <t>Design and provision core DB schema for reports, users, statuses and announcements. Configure pgvector extension for similarity search.</t>
  </si>
  <si>
    <t>2.1.2</t>
  </si>
  <si>
    <t>Prisma ORM Implementation</t>
  </si>
  <si>
    <t>A.P</t>
  </si>
  <si>
    <t>Define typed Prisma data models, manage schema migrations, establish query layer consumed by all backend services.</t>
  </si>
  <si>
    <t>2.3.1</t>
  </si>
  <si>
    <t>Gemini LLM Integration</t>
  </si>
  <si>
    <t>AI</t>
  </si>
  <si>
    <t>A.P / B.S</t>
  </si>
  <si>
    <t>Connect platform to Google Gemini. Build initial prompt specification and API abstraction layer.</t>
  </si>
  <si>
    <t>2.2.1</t>
  </si>
  <si>
    <t>Firebase Auth Integration</t>
  </si>
  <si>
    <t>Auth</t>
  </si>
  <si>
    <t>Integrate Firebase Authentication with OAuth social login, and binary RBAC (user / admin).</t>
  </si>
  <si>
    <t>Sprint 1  Sub-total</t>
  </si>
  <si>
    <t xml:space="preserve">  SPRINT 2   Week 2   —   Storage, RAG Pipeline and Frontend Auth     |   24 hrs</t>
  </si>
  <si>
    <t>2.2.2</t>
  </si>
  <si>
    <t>Supabase Storage Integration</t>
  </si>
  <si>
    <t>Storage</t>
  </si>
  <si>
    <t>Sprint 2</t>
  </si>
  <si>
    <t>Evidence file upload pipeline via Supabase Storage. CDN delivery configuration and bucket security policies.</t>
  </si>
  <si>
    <t>2.3.2</t>
  </si>
  <si>
    <t>RAG Retrieval Logic</t>
  </si>
  <si>
    <t>2.3.1; 2.1.1</t>
  </si>
  <si>
    <t>Embedding generation pipeline. Store vector representations in pgvector. Cosine-similarity retrieval with backend latency handling.</t>
  </si>
  <si>
    <t>1.1.8</t>
  </si>
  <si>
    <t>SMS smishing detectcion</t>
  </si>
  <si>
    <t>backend</t>
  </si>
  <si>
    <t>Medium</t>
  </si>
  <si>
    <t>Y.R</t>
  </si>
  <si>
    <t>Passive on-device read of incoming SMS, on-device extraction of URLs and phone numbers, only the extracted identifiers are submitted to POST /check. Raw SMS body is never transmitted (PDPA, §6.3). Suspicious or Scam verdict surfaces a tap-to-review notification.</t>
  </si>
  <si>
    <t>Added</t>
  </si>
  <si>
    <t>1.1.9</t>
  </si>
  <si>
    <t>Call Screening</t>
  </si>
  <si>
    <t>Frontend</t>
  </si>
  <si>
    <t>B.S</t>
  </si>
  <si>
    <t>Incoming-call number checked against verified DB. Lock-screen / shade notification on match. Notification-only (Android policy). 3s budget.</t>
  </si>
  <si>
    <t>1.1.1</t>
  </si>
  <si>
    <t>Authentication</t>
  </si>
  <si>
    <t>P-01 Login and P-02 Register pages. Session and token management. Prerequisite for all personalised features.</t>
  </si>
  <si>
    <t>Sprint 2  Sub-total</t>
  </si>
  <si>
    <t xml:space="preserve">  SPRINT 3   Week 3   —   Core API, Feed and Report Detail Page     |   31 hrs</t>
  </si>
  <si>
    <t>2.3.3</t>
  </si>
  <si>
    <t>API Services</t>
  </si>
  <si>
    <t>Backend</t>
  </si>
  <si>
    <t>Sprint 3</t>
  </si>
  <si>
    <t>To Do</t>
  </si>
  <si>
    <t>ALL</t>
  </si>
  <si>
    <t>2.1.2; 2.2.1</t>
  </si>
  <si>
    <t>Full CRUD REST surface for reports, users, statuses, announcements, etc.</t>
  </si>
  <si>
    <t>1.1.2</t>
  </si>
  <si>
    <t>Scam Report Feed</t>
  </si>
  <si>
    <t>T.P</t>
  </si>
  <si>
    <t>1.1.1; 2.3.3</t>
  </si>
  <si>
    <t>P-03 Public Feed and P-11 My Reports. Conditional columns, status badge, and auth guard. Live statistics in public view header.</t>
  </si>
  <si>
    <t>1.1.2a</t>
  </si>
  <si>
    <t>Verified Report Detail</t>
  </si>
  <si>
    <t>1.1.2; 2.3.3</t>
  </si>
  <si>
    <t>P-04. Full scammer information and evidence file viewer. Shareable URL. Read-only page reached from feed or search results.</t>
  </si>
  <si>
    <t>1.1.6</t>
  </si>
  <si>
    <t>Data Privacy and ToS</t>
  </si>
  <si>
    <t>Low</t>
  </si>
  <si>
    <t>P-07 Privacy Policy and P-08 Terms of Service. Static content pages with consent checkboxes wired into registration and submission flows.</t>
  </si>
  <si>
    <t>1.1.7</t>
  </si>
  <si>
    <t>Support and Settings</t>
  </si>
  <si>
    <t>P-12 Support / Settings. Onboarding tutorial for new users and account preferences panel.</t>
  </si>
  <si>
    <t>Sprint 3  Sub-total</t>
  </si>
  <si>
    <t xml:space="preserve">  SPRINT 4   Week 4   —   Report Form, AI Search and Admin Queue     |   27 hrs</t>
  </si>
  <si>
    <t>1.1.4</t>
  </si>
  <si>
    <t>Report Submission Form</t>
  </si>
  <si>
    <t>Sprint 4</t>
  </si>
  <si>
    <t>1.1.1; 2.2.2; 2.3.3</t>
  </si>
  <si>
    <t>P-10 Submit a Report. Validated form with evidence file upload and consent acknowledgement.</t>
  </si>
  <si>
    <t>1.1.3</t>
  </si>
  <si>
    <t>AI-Powered Search UI</t>
  </si>
  <si>
    <t>2.3.1; 2.3.2</t>
  </si>
  <si>
    <t>P-09 AI-Powered Search. Natural-language semantic query input with ranked results from RAG engine.</t>
  </si>
  <si>
    <t>1.1.10</t>
  </si>
  <si>
    <t>Share-to-app</t>
  </si>
  <si>
    <t xml:space="preserve">Share suscipicious link message, phone number, back account, etc. from another account to our application for checking </t>
  </si>
  <si>
    <t>1.2.1</t>
  </si>
  <si>
    <t>Pending Review Queue</t>
  </si>
  <si>
    <t>Admin</t>
  </si>
  <si>
    <t>2.2.1; 2.3.3</t>
  </si>
  <si>
    <t>A-01 Pending Review Queue. Admin list of all submitted reports awaiting review. Priority flagging and sort controls.</t>
  </si>
  <si>
    <t>Sprint 4  Sub-total</t>
  </si>
  <si>
    <t xml:space="preserve">  SPRINT 5   Week 5   —   Announcements, Admin Actions and QA/Deploy     |   33 hrs</t>
  </si>
  <si>
    <t>1.1.5</t>
  </si>
  <si>
    <t>Announcements Feature</t>
  </si>
  <si>
    <t>Frontend / Admin</t>
  </si>
  <si>
    <t>Sprint 5</t>
  </si>
  <si>
    <t>S.P</t>
  </si>
  <si>
    <t>P-05 Announcement List, P-06 Announcement Detail, and A-03 Announcement Management. Role-conditional create, edit and publish layer.</t>
  </si>
  <si>
    <t>1.2.2</t>
  </si>
  <si>
    <t>Admin Action UI with AI scoring</t>
  </si>
  <si>
    <t>A-02. Full case view: evidence preview, approve/reject action with remark input, status-flag escalation control, and AI scoring.</t>
  </si>
  <si>
    <t>3.1</t>
  </si>
  <si>
    <t>Unit and Integration Testing</t>
  </si>
  <si>
    <t>Testing</t>
  </si>
  <si>
    <t>All development packages</t>
  </si>
  <si>
    <t>Unit tests for all major frontend components and backend services. Integration tests for API and database layers.</t>
  </si>
  <si>
    <t>3.2</t>
  </si>
  <si>
    <t>User Acceptance Testing</t>
  </si>
  <si>
    <t>Validation across all 15 pages against real user scenarios. Structured feedback collection and issue resolution.</t>
  </si>
  <si>
    <t>3.3</t>
  </si>
  <si>
    <t>CI/CD Pipeline and Deployment</t>
  </si>
  <si>
    <t>Deployment</t>
  </si>
  <si>
    <t>T.P / S.P</t>
  </si>
  <si>
    <t>Automated build-and-deploy pipeline. Staging environment validation. Production release with monitoring in place.</t>
  </si>
  <si>
    <t>Sprint 5  Sub-total</t>
  </si>
  <si>
    <t xml:space="preserve">  LEVEL-OF-EFFORT (LOE)   —   Ongoing throughout all sprints</t>
  </si>
  <si>
    <t>4.1</t>
  </si>
  <si>
    <t>Weekly Team Sync</t>
  </si>
  <si>
    <t>Project Management</t>
  </si>
  <si>
    <t>LOE</t>
  </si>
  <si>
    <t>Ongoing</t>
  </si>
  <si>
    <t>—</t>
  </si>
  <si>
    <t>Weekly standups and sprint retrospectives. Blocker identification and resolution.</t>
  </si>
  <si>
    <t>4.2</t>
  </si>
  <si>
    <t>Progress Monitoring and Reporting</t>
  </si>
  <si>
    <t>Burndown chart maintenance. Status reporting to course instructor. WBS and schedule updates.</t>
  </si>
  <si>
    <t>Grand Total  (excl. LOE)</t>
  </si>
  <si>
    <t>MOBILE APPLICATION PROJECT — GANTT CHART</t>
  </si>
  <si>
    <t>CSC231 Agile Project Management | 5 Sprints (23 Apr – 27 May) | 158 Hours Total</t>
  </si>
  <si>
    <t>Sprint 1  —  23 Apr</t>
  </si>
  <si>
    <t>Sprint 2  —  30 Apr</t>
  </si>
  <si>
    <t>Sprint 3  —  7 May</t>
  </si>
  <si>
    <t>Sprint 4  —  14 May</t>
  </si>
  <si>
    <t>Sprint 5  —  21 May</t>
  </si>
  <si>
    <t>Hrs</t>
  </si>
  <si>
    <t xml:space="preserve">  SPRINT 1   Week 1   —   Infrastructure and Authentication Backend   |   28 hrs</t>
  </si>
  <si>
    <t xml:space="preserve">  SPRINT 2   Week 2   —   Storage, RAG Pipeline and Frontend Auth   |   24 hrs</t>
  </si>
  <si>
    <t xml:space="preserve">  SPRINT 3   Week 3   —   Core API, Feed and Report Detail Page   |   31 hrs</t>
  </si>
  <si>
    <t xml:space="preserve">  SPRINT 4   Week 4   —   Report Form, AI Search and Admin Queue   |   27 hrs</t>
  </si>
  <si>
    <t xml:space="preserve">  SPRINT 5   Week 5   —   Announcements, Admin Actions and QA/Deploy   |   33 hrs</t>
  </si>
  <si>
    <t xml:space="preserve">  Level-of-Effort (LOE)  —  Ongoing throughout all sprints</t>
  </si>
  <si>
    <t>SCAM REPORT PLATFORM  —  PAGES INVENTORY  (15 Pages)</t>
  </si>
  <si>
    <t>Page sync conducted against WBS v1.3 and Wideband Delphi final consensus  |  2 gaps resolved  |  WBS ID drift documented below</t>
  </si>
  <si>
    <t>Page ID</t>
  </si>
  <si>
    <t>Page Name</t>
  </si>
  <si>
    <t>Access Level</t>
  </si>
  <si>
    <t>Key Field Values</t>
  </si>
  <si>
    <t xml:space="preserve">  Public  —  No Login Required</t>
  </si>
  <si>
    <t>P-01</t>
  </si>
  <si>
    <t>Login</t>
  </si>
  <si>
    <t>Public</t>
  </si>
  <si>
    <t>users.role = any</t>
  </si>
  <si>
    <t>Email/password and OAuth social login entry point.</t>
  </si>
  <si>
    <t>Covered</t>
  </si>
  <si>
    <t>P-02</t>
  </si>
  <si>
    <t>Register</t>
  </si>
  <si>
    <t>Sign-up form with consent acknowledgement checkbox.</t>
  </si>
  <si>
    <t>P-03</t>
  </si>
  <si>
    <t>Home / Public Feed</t>
  </si>
  <si>
    <t>reports.status = verified</t>
  </si>
  <si>
    <t>Live statistics, list of verified scam reports with filters and sort controls.</t>
  </si>
  <si>
    <t>P-04</t>
  </si>
  <si>
    <t>Full scammer information and evidence files. Shareable URL. Reached from feed or search.</t>
  </si>
  <si>
    <t>P-05</t>
  </si>
  <si>
    <t>Announcements List</t>
  </si>
  <si>
    <t>announcements.category</t>
  </si>
  <si>
    <t>List of published announcements with category filter.</t>
  </si>
  <si>
    <t>P-06</t>
  </si>
  <si>
    <t>Announcement Detail</t>
  </si>
  <si>
    <t>Full content of a single announcement. Read-only.</t>
  </si>
  <si>
    <t>P-07</t>
  </si>
  <si>
    <t>Privacy Policy</t>
  </si>
  <si>
    <t>Static data privacy policy page.</t>
  </si>
  <si>
    <t>P-08</t>
  </si>
  <si>
    <t>Terms of Service</t>
  </si>
  <si>
    <t>Static Terms of Service page linked from registration and submission consent.</t>
  </si>
  <si>
    <t xml:space="preserve">  Authenticated  —  Login Required</t>
  </si>
  <si>
    <t>P-09</t>
  </si>
  <si>
    <t>AI-Powered Search</t>
  </si>
  <si>
    <t>Auth Required</t>
  </si>
  <si>
    <t>Semantic query input with ranked results from RAG engine.</t>
  </si>
  <si>
    <t>P-10</t>
  </si>
  <si>
    <t>Submit a Report</t>
  </si>
  <si>
    <t>reports.status = pending</t>
  </si>
  <si>
    <t>Validated form with evidence file upload and consent checkbox.</t>
  </si>
  <si>
    <t>P-11</t>
  </si>
  <si>
    <t>My Reports</t>
  </si>
  <si>
    <t>reports.status: pending / under_review / verified / rejected</t>
  </si>
  <si>
    <t>User's own reports with status badges and case detail view.</t>
  </si>
  <si>
    <t>P-12</t>
  </si>
  <si>
    <t>Support / Settings</t>
  </si>
  <si>
    <t>Onboarding tutorial, account preferences, and settings panel.</t>
  </si>
  <si>
    <t xml:space="preserve">  Admin Only</t>
  </si>
  <si>
    <t>A-01</t>
  </si>
  <si>
    <t>Admin Only</t>
  </si>
  <si>
    <t>reports.priority: low / medium / high</t>
  </si>
  <si>
    <t>All submitted reports awaiting review. Priority flagging and sort controls.</t>
  </si>
  <si>
    <t>A-02</t>
  </si>
  <si>
    <t>Report Review Detail</t>
  </si>
  <si>
    <t>review_actions.action: assigned / under_review / approved / rejected / escalated</t>
  </si>
  <si>
    <t>Full case view: evidence preview, approve/reject with remark, escalation control.</t>
  </si>
  <si>
    <t>Scoped</t>
  </si>
  <si>
    <t>A-03</t>
  </si>
  <si>
    <t>Announcement Management</t>
  </si>
  <si>
    <t>announcements.category: activities / fraud_prevention</t>
  </si>
  <si>
    <t>Create, edit, publish/unpublish, and delete announcements. Category and tag assignment.</t>
  </si>
  <si>
    <t xml:space="preserve">  WBS ID Drift Reference  —  Original WBS IDs vs Delphi-Revised IDs</t>
  </si>
  <si>
    <t>Original WBS ID</t>
  </si>
  <si>
    <t>Change Note</t>
  </si>
  <si>
    <t>1.1.3 (original)</t>
  </si>
  <si>
    <t>Absorbed into 1.1.2 Scam Report Feed after Delphi merge</t>
  </si>
  <si>
    <t>1.1.5 (original)</t>
  </si>
  <si>
    <t>Report Submission</t>
  </si>
  <si>
    <t>Renumbered to 1.1.4 after Delphi merge</t>
  </si>
  <si>
    <t>1.1.6 (original)</t>
  </si>
  <si>
    <t>Announcements</t>
  </si>
  <si>
    <t>Renumbered to 1.1.5 after Delphi merge</t>
  </si>
  <si>
    <t>1.1.8 (original)</t>
  </si>
  <si>
    <t>Renumbered to 1.1.7 after Delphi merge</t>
  </si>
  <si>
    <t>1.2.3 (original)</t>
  </si>
  <si>
    <t>Announcement Mgmt</t>
  </si>
  <si>
    <t>Merged into 1.1.5 Announcements Feature</t>
  </si>
  <si>
    <t>1.1.2a (new)</t>
  </si>
  <si>
    <t>Added to address P-04 gap identified in page sync</t>
  </si>
  <si>
    <t xml:space="preserve">  Database Field Values Reference</t>
  </si>
  <si>
    <t>Field</t>
  </si>
  <si>
    <t>Allowed Values</t>
  </si>
  <si>
    <t>Usage Notes</t>
  </si>
  <si>
    <t>users.role</t>
  </si>
  <si>
    <t>user, admin</t>
  </si>
  <si>
    <t>Binary RBAC. All protected routes gate access on this value.</t>
  </si>
  <si>
    <t>reports.status</t>
  </si>
  <si>
    <t>pending, under_review, verified, rejected</t>
  </si>
  <si>
    <t>Controlled by admin review actions. Displayed as status badge in P-03, P-11, A-01, A-02.</t>
  </si>
  <si>
    <t>reports.priority</t>
  </si>
  <si>
    <t>low, medium, high</t>
  </si>
  <si>
    <t>Used in A-01 sort and flag controls and surfaced in A-02 case header.</t>
  </si>
  <si>
    <t>review_actions.action</t>
  </si>
  <si>
    <t>assigned, under_review, approved, rejected, escalated</t>
  </si>
  <si>
    <t>Full audit trail of admin decisions. Drives escalation control in A-02.</t>
  </si>
  <si>
    <t>activities, fraud_prevention</t>
  </si>
  <si>
    <t>Category filter in P-05. Assigned during creation or editing in A-03.</t>
  </si>
  <si>
    <t>SCAM REPORT PLATFORM  —  SPRINT SUMMARY</t>
  </si>
  <si>
    <t>CSC231 Agile PM   |   5 Sprints x 1 Week   |   158 hrs total   |   Estimates from Wideband Delphi (2 rounds)</t>
  </si>
  <si>
    <t>Focus Area</t>
  </si>
  <si>
    <t>Timeline</t>
  </si>
  <si>
    <t>Work Packages</t>
  </si>
  <si>
    <t>% of Total</t>
  </si>
  <si>
    <t>Team Members</t>
  </si>
  <si>
    <t>Infrastructure and Authentication Backend</t>
  </si>
  <si>
    <t>Week 1</t>
  </si>
  <si>
    <t>2.1.1, 2.1.2, 2.3.1, 2.2.1</t>
  </si>
  <si>
    <t>A.P (Lead), T.P, B.S</t>
  </si>
  <si>
    <t>Storage, RAG Pipeline and Frontend Auth</t>
  </si>
  <si>
    <t>Week 2</t>
  </si>
  <si>
    <t>2.2.2, 2.3.2, 1.1.1,1.1.14,1.1.15</t>
  </si>
  <si>
    <t>A.P (Lead), T.P, B.S, Y.R</t>
  </si>
  <si>
    <t>Core API, Feed and Report Detail Page</t>
  </si>
  <si>
    <t>Week 3</t>
  </si>
  <si>
    <t>2.3.3, 1.1.2, 1.1.2a, 1.1.6, 1.1.7</t>
  </si>
  <si>
    <t>All Members</t>
  </si>
  <si>
    <t>Report Form, AI Search and Admin Queue</t>
  </si>
  <si>
    <t>Week 4</t>
  </si>
  <si>
    <t>1.1.4, 1.1.3, 1.2.1,1.1.16</t>
  </si>
  <si>
    <t>A.P, T.P, Y.R, B.S</t>
  </si>
  <si>
    <t>Announcements, Admin Actions and QA/Deploy</t>
  </si>
  <si>
    <t>Week 5</t>
  </si>
  <si>
    <t>1.1.5, 1.2.2, 3.1, 3.2, 3.3</t>
  </si>
  <si>
    <t>Total  (excl. LOE)</t>
  </si>
  <si>
    <t>Version note:  v1 total = 140 hrs (Wideband Delphi consensus).  v2 total = 143 hrs after adding WBS 1.1.2a Verified Report Detail (+3 hrs) identified during page sync.</t>
  </si>
  <si>
    <t>Delphi convergence:  2 rounds required.  Grand mean Round 1: 128.6 hrs.  Round 2: 132.2 hrs.  Range reduced from 15 hrs to 12 hrs (-20%).  Std deviation reduced from 5.31 hrs to 4.15 hrs (-22%).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</si>
</sst>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8">
    <font>
      <sz val="11.0"/>
      <color theme="1"/>
      <name val="Calibri"/>
      <scheme val="minor"/>
    </font>
    <font>
      <b/>
      <sz val="13.0"/>
      <color rgb="FFFFFFFF"/>
      <name val="Calibri"/>
    </font>
    <font/>
    <font>
      <i/>
      <sz val="9.0"/>
      <color rgb="FFFFFFFF"/>
      <name val="Calibri"/>
    </font>
    <font>
      <b/>
      <sz val="9.0"/>
      <color rgb="FFFFFFFF"/>
      <name val="Calibri"/>
    </font>
    <font>
      <sz val="9.0"/>
      <color rgb="FF1A1A1A"/>
      <name val="Calibri"/>
    </font>
    <font>
      <b/>
      <sz val="8.0"/>
      <color rgb="FFFFFFFF"/>
      <name val="Calibri"/>
    </font>
    <font>
      <b/>
      <sz val="9.0"/>
      <color rgb="FF1A1A1A"/>
      <name val="Calibri"/>
    </font>
    <font>
      <sz val="11.0"/>
      <color theme="1"/>
      <name val="Calibri"/>
    </font>
    <font>
      <sz val="9.0"/>
      <color rgb="FF000000"/>
      <name val="Calibri"/>
    </font>
    <font>
      <b/>
      <sz val="9.0"/>
      <color rgb="FF595959"/>
      <name val="Calibri"/>
    </font>
    <font>
      <i/>
      <sz val="9.0"/>
      <color rgb="FF595959"/>
      <name val="Calibri"/>
    </font>
    <font>
      <b/>
      <sz val="10.0"/>
      <color rgb="FFFFFFFF"/>
      <name val="Calibri"/>
    </font>
    <font>
      <b/>
      <sz val="7.0"/>
      <color rgb="FFFFFFFF"/>
      <name val="Calibri"/>
    </font>
    <font>
      <sz val="9.0"/>
      <color rgb="FFFFFFFF"/>
      <name val="Calibri"/>
    </font>
    <font>
      <b/>
      <sz val="9.0"/>
      <color rgb="FF1F3864"/>
      <name val="Calibri"/>
    </font>
    <font>
      <sz val="9.0"/>
      <color rgb="FF595959"/>
      <name val="Calibri"/>
    </font>
    <font>
      <sz val="10.0"/>
      <color rgb="FF1A1A1A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EF2F7"/>
        <bgColor rgb="FFEEF2F7"/>
      </patternFill>
    </fill>
    <fill>
      <patternFill patternType="solid">
        <fgColor rgb="FFC0392B"/>
        <bgColor rgb="FFC0392B"/>
      </patternFill>
    </fill>
    <fill>
      <patternFill patternType="solid">
        <fgColor rgb="FFFFFFFF"/>
        <bgColor rgb="FFFFFFFF"/>
      </patternFill>
    </fill>
    <fill>
      <patternFill patternType="solid">
        <fgColor rgb="FF1A5C38"/>
        <bgColor rgb="FF1A5C38"/>
      </patternFill>
    </fill>
    <fill>
      <patternFill patternType="solid">
        <fgColor rgb="FFFFF2CC"/>
        <bgColor rgb="FFFFF2CC"/>
      </patternFill>
    </fill>
    <fill>
      <patternFill patternType="solid">
        <fgColor rgb="FFE67E22"/>
        <bgColor rgb="FFE67E22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FEF9E7"/>
        <bgColor rgb="FFFEF9E7"/>
      </patternFill>
    </fill>
    <fill>
      <patternFill patternType="solid">
        <fgColor rgb="FF27AE60"/>
        <bgColor rgb="FF27AE60"/>
      </patternFill>
    </fill>
    <fill>
      <patternFill patternType="solid">
        <fgColor rgb="FFB7770D"/>
        <bgColor rgb="FFB7770D"/>
      </patternFill>
    </fill>
    <fill>
      <patternFill patternType="solid">
        <fgColor rgb="FF7B241C"/>
        <bgColor rgb="FF7B241C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EAECEE"/>
        <bgColor rgb="FFEAECEE"/>
      </patternFill>
    </fill>
    <fill>
      <patternFill patternType="solid">
        <fgColor rgb="FFF4F6F7"/>
        <bgColor rgb="FFF4F6F7"/>
      </patternFill>
    </fill>
    <fill>
      <patternFill patternType="solid">
        <fgColor rgb="FF8E44AD"/>
        <bgColor rgb="FF8E44AD"/>
      </patternFill>
    </fill>
    <fill>
      <patternFill patternType="solid">
        <fgColor rgb="FFD9D9D9"/>
        <bgColor rgb="FFD9D9D9"/>
      </patternFill>
    </fill>
    <fill>
      <patternFill patternType="solid">
        <fgColor rgb="FF0E6655"/>
        <bgColor rgb="FF0E6655"/>
      </patternFill>
    </fill>
    <fill>
      <patternFill patternType="solid">
        <fgColor rgb="FF7D3C98"/>
        <bgColor rgb="FF7D3C98"/>
      </patternFill>
    </fill>
    <fill>
      <patternFill patternType="solid">
        <fgColor rgb="FFD6E4F0"/>
        <bgColor rgb="FFD6E4F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C8D0DA"/>
      </left>
      <right style="thin">
        <color rgb="FFC8D0DA"/>
      </right>
      <top style="thin">
        <color rgb="FFC8D0DA"/>
      </top>
      <bottom style="thin">
        <color rgb="FFC8D0DA"/>
      </bottom>
    </border>
    <border>
      <left/>
      <right/>
      <top/>
      <bottom/>
    </border>
    <border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8D0DA"/>
      </left>
      <top style="thin">
        <color rgb="FFC8D0DA"/>
      </top>
      <bottom style="thin">
        <color rgb="FFC8D0DA"/>
      </bottom>
    </border>
    <border>
      <top style="thin">
        <color rgb="FFC8D0DA"/>
      </top>
      <bottom style="thin">
        <color rgb="FFC8D0DA"/>
      </bottom>
    </border>
    <border>
      <right style="thin">
        <color rgb="FFC8D0DA"/>
      </right>
      <top style="thin">
        <color rgb="FFC8D0DA"/>
      </top>
      <bottom style="thin">
        <color rgb="FFC8D0DA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4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left" vertical="center"/>
    </xf>
    <xf borderId="4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left" vertical="center"/>
    </xf>
    <xf borderId="4" fillId="5" fontId="6" numFmtId="0" xfId="0" applyAlignment="1" applyBorder="1" applyFill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4" fillId="6" fontId="7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right" vertical="center"/>
    </xf>
    <xf borderId="5" fillId="2" fontId="4" numFmtId="0" xfId="0" applyAlignment="1" applyBorder="1" applyFont="1">
      <alignment horizontal="center" vertical="center"/>
    </xf>
    <xf borderId="5" fillId="2" fontId="8" numFmtId="0" xfId="0" applyBorder="1" applyFont="1"/>
    <xf borderId="1" fillId="7" fontId="4" numFmtId="0" xfId="0" applyAlignment="1" applyBorder="1" applyFill="1" applyFont="1">
      <alignment horizontal="left" vertical="center"/>
    </xf>
    <xf borderId="4" fillId="7" fontId="6" numFmtId="0" xfId="0" applyAlignment="1" applyBorder="1" applyFont="1">
      <alignment horizontal="center" vertical="center"/>
    </xf>
    <xf borderId="4" fillId="8" fontId="5" numFmtId="0" xfId="0" applyAlignment="1" applyBorder="1" applyFill="1" applyFont="1">
      <alignment horizontal="center" readingOrder="0" vertical="center"/>
    </xf>
    <xf borderId="4" fillId="8" fontId="5" numFmtId="0" xfId="0" applyAlignment="1" applyBorder="1" applyFont="1">
      <alignment horizontal="left" readingOrder="0" vertical="center"/>
    </xf>
    <xf borderId="4" fillId="9" fontId="6" numFmtId="0" xfId="0" applyAlignment="1" applyBorder="1" applyFill="1" applyFont="1">
      <alignment horizontal="center" vertical="center"/>
    </xf>
    <xf borderId="4" fillId="8" fontId="7" numFmtId="0" xfId="0" applyAlignment="1" applyBorder="1" applyFont="1">
      <alignment horizontal="center" readingOrder="0" vertical="center"/>
    </xf>
    <xf borderId="4" fillId="7" fontId="6" numFmtId="0" xfId="0" applyAlignment="1" applyBorder="1" applyFont="1">
      <alignment horizontal="center" readingOrder="0" vertical="center"/>
    </xf>
    <xf borderId="6" fillId="8" fontId="9" numFmtId="0" xfId="0" applyAlignment="1" applyBorder="1" applyFont="1">
      <alignment horizontal="left" readingOrder="0" shrinkToFit="0" vertical="center" wrapText="1"/>
    </xf>
    <xf borderId="4" fillId="10" fontId="6" numFmtId="0" xfId="0" applyAlignment="1" applyBorder="1" applyFill="1" applyFont="1">
      <alignment horizontal="center" vertical="center"/>
    </xf>
    <xf borderId="6" fillId="8" fontId="10" numFmtId="0" xfId="0" applyAlignment="1" applyBorder="1" applyFont="1">
      <alignment horizontal="center" readingOrder="0" vertical="center"/>
    </xf>
    <xf borderId="6" fillId="8" fontId="10" numFmtId="0" xfId="0" applyAlignment="1" applyBorder="1" applyFont="1">
      <alignment readingOrder="0" shrinkToFit="0" vertical="center" wrapText="1"/>
    </xf>
    <xf borderId="6" fillId="8" fontId="10" numFmtId="1" xfId="0" applyAlignment="1" applyBorder="1" applyFont="1" applyNumberFormat="1">
      <alignment horizontal="center" readingOrder="0" vertical="center"/>
    </xf>
    <xf borderId="6" fillId="7" fontId="6" numFmtId="0" xfId="0" applyAlignment="1" applyBorder="1" applyFont="1">
      <alignment horizontal="center" readingOrder="0" vertical="center"/>
    </xf>
    <xf borderId="6" fillId="8" fontId="10" numFmtId="0" xfId="0" applyAlignment="1" applyBorder="1" applyFont="1">
      <alignment shrinkToFit="0" vertical="center" wrapText="1"/>
    </xf>
    <xf borderId="1" fillId="7" fontId="6" numFmtId="0" xfId="0" applyAlignment="1" applyBorder="1" applyFont="1">
      <alignment horizontal="right" vertical="center"/>
    </xf>
    <xf borderId="5" fillId="7" fontId="4" numFmtId="0" xfId="0" applyAlignment="1" applyBorder="1" applyFont="1">
      <alignment horizontal="center" readingOrder="0" vertical="center"/>
    </xf>
    <xf borderId="5" fillId="7" fontId="8" numFmtId="0" xfId="0" applyBorder="1" applyFont="1"/>
    <xf borderId="1" fillId="11" fontId="4" numFmtId="0" xfId="0" applyAlignment="1" applyBorder="1" applyFill="1" applyFont="1">
      <alignment horizontal="left" vertical="center"/>
    </xf>
    <xf borderId="4" fillId="11" fontId="6" numFmtId="0" xfId="0" applyAlignment="1" applyBorder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4" fillId="12" fontId="5" numFmtId="0" xfId="0" applyAlignment="1" applyBorder="1" applyFont="1">
      <alignment horizontal="left" vertical="center"/>
    </xf>
    <xf borderId="4" fillId="12" fontId="7" numFmtId="0" xfId="0" applyAlignment="1" applyBorder="1" applyFont="1">
      <alignment horizontal="center" vertical="center"/>
    </xf>
    <xf borderId="4" fillId="12" fontId="5" numFmtId="0" xfId="0" applyAlignment="1" applyBorder="1" applyFont="1">
      <alignment horizontal="center" readingOrder="0" vertical="center"/>
    </xf>
    <xf borderId="4" fillId="12" fontId="5" numFmtId="0" xfId="0" applyAlignment="1" applyBorder="1" applyFont="1">
      <alignment horizontal="left" shrinkToFit="0" vertical="center" wrapText="1"/>
    </xf>
    <xf borderId="4" fillId="13" fontId="6" numFmtId="0" xfId="0" applyAlignment="1" applyBorder="1" applyFill="1" applyFont="1">
      <alignment horizontal="center" vertical="center"/>
    </xf>
    <xf borderId="1" fillId="11" fontId="6" numFmtId="0" xfId="0" applyAlignment="1" applyBorder="1" applyFont="1">
      <alignment horizontal="right" vertical="center"/>
    </xf>
    <xf borderId="5" fillId="11" fontId="4" numFmtId="0" xfId="0" applyAlignment="1" applyBorder="1" applyFont="1">
      <alignment horizontal="center" vertical="center"/>
    </xf>
    <xf borderId="5" fillId="11" fontId="8" numFmtId="0" xfId="0" applyBorder="1" applyFont="1"/>
    <xf borderId="1" fillId="14" fontId="4" numFmtId="0" xfId="0" applyAlignment="1" applyBorder="1" applyFill="1" applyFont="1">
      <alignment horizontal="left" vertical="center"/>
    </xf>
    <xf borderId="4" fillId="14" fontId="6" numFmtId="0" xfId="0" applyAlignment="1" applyBorder="1" applyFont="1">
      <alignment horizontal="center" vertical="center"/>
    </xf>
    <xf borderId="4" fillId="9" fontId="6" numFmtId="0" xfId="0" applyAlignment="1" applyBorder="1" applyFont="1">
      <alignment horizontal="center" readingOrder="0" vertical="center"/>
    </xf>
    <xf borderId="4" fillId="14" fontId="6" numFmtId="0" xfId="0" applyAlignment="1" applyBorder="1" applyFont="1">
      <alignment horizontal="center" readingOrder="0" vertical="center"/>
    </xf>
    <xf borderId="4" fillId="8" fontId="5" numFmtId="0" xfId="0" applyAlignment="1" applyBorder="1" applyFont="1">
      <alignment horizontal="left" readingOrder="0" shrinkToFit="0" vertical="center" wrapText="1"/>
    </xf>
    <xf borderId="1" fillId="14" fontId="6" numFmtId="0" xfId="0" applyAlignment="1" applyBorder="1" applyFont="1">
      <alignment horizontal="right" vertical="center"/>
    </xf>
    <xf borderId="5" fillId="14" fontId="4" numFmtId="0" xfId="0" applyAlignment="1" applyBorder="1" applyFont="1">
      <alignment horizontal="center" vertical="center"/>
    </xf>
    <xf borderId="5" fillId="14" fontId="8" numFmtId="0" xfId="0" applyBorder="1" applyFont="1"/>
    <xf borderId="1" fillId="15" fontId="4" numFmtId="0" xfId="0" applyAlignment="1" applyBorder="1" applyFill="1" applyFont="1">
      <alignment horizontal="left" vertical="center"/>
    </xf>
    <xf borderId="4" fillId="15" fontId="6" numFmtId="0" xfId="0" applyAlignment="1" applyBorder="1" applyFont="1">
      <alignment horizontal="center" vertical="center"/>
    </xf>
    <xf borderId="4" fillId="12" fontId="5" numFmtId="0" xfId="0" applyAlignment="1" applyBorder="1" applyFont="1">
      <alignment horizontal="left" readingOrder="0" vertical="center"/>
    </xf>
    <xf borderId="4" fillId="12" fontId="5" numFmtId="0" xfId="0" applyAlignment="1" applyBorder="1" applyFont="1">
      <alignment horizontal="left" readingOrder="0" shrinkToFit="0" vertical="center" wrapText="1"/>
    </xf>
    <xf borderId="1" fillId="15" fontId="6" numFmtId="0" xfId="0" applyAlignment="1" applyBorder="1" applyFont="1">
      <alignment horizontal="right" vertical="center"/>
    </xf>
    <xf borderId="5" fillId="15" fontId="4" numFmtId="0" xfId="0" applyAlignment="1" applyBorder="1" applyFont="1">
      <alignment horizontal="center" vertical="center"/>
    </xf>
    <xf borderId="5" fillId="15" fontId="8" numFmtId="0" xfId="0" applyBorder="1" applyFont="1"/>
    <xf borderId="1" fillId="16" fontId="4" numFmtId="0" xfId="0" applyAlignment="1" applyBorder="1" applyFill="1" applyFont="1">
      <alignment horizontal="left" vertical="center"/>
    </xf>
    <xf borderId="4" fillId="17" fontId="11" numFmtId="0" xfId="0" applyAlignment="1" applyBorder="1" applyFill="1" applyFont="1">
      <alignment horizontal="center" vertical="center"/>
    </xf>
    <xf borderId="4" fillId="17" fontId="11" numFmtId="0" xfId="0" applyAlignment="1" applyBorder="1" applyFont="1">
      <alignment horizontal="left" vertical="center"/>
    </xf>
    <xf borderId="4" fillId="17" fontId="11" numFmtId="0" xfId="0" applyAlignment="1" applyBorder="1" applyFont="1">
      <alignment horizontal="left" shrinkToFit="0" vertical="center" wrapText="1"/>
    </xf>
    <xf borderId="4" fillId="6" fontId="1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left" vertical="center"/>
    </xf>
    <xf borderId="4" fillId="6" fontId="11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horizontal="right" vertical="center"/>
    </xf>
    <xf borderId="5" fillId="2" fontId="12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1" fillId="7" fontId="6" numFmtId="0" xfId="0" applyAlignment="1" applyBorder="1" applyFont="1">
      <alignment horizontal="center" readingOrder="0" vertical="center"/>
    </xf>
    <xf borderId="1" fillId="11" fontId="6" numFmtId="0" xfId="0" applyAlignment="1" applyBorder="1" applyFont="1">
      <alignment horizontal="center" readingOrder="0" vertical="center"/>
    </xf>
    <xf borderId="1" fillId="14" fontId="6" numFmtId="0" xfId="0" applyAlignment="1" applyBorder="1" applyFont="1">
      <alignment horizontal="center" readingOrder="0" vertical="center"/>
    </xf>
    <xf borderId="1" fillId="15" fontId="6" numFmtId="0" xfId="0" applyAlignment="1" applyBorder="1" applyFont="1">
      <alignment horizontal="center" readingOrder="0" vertical="center"/>
    </xf>
    <xf borderId="4" fillId="2" fontId="13" numFmtId="0" xfId="0" applyAlignment="1" applyBorder="1" applyFont="1">
      <alignment horizontal="center" readingOrder="0" vertical="center"/>
    </xf>
    <xf borderId="4" fillId="7" fontId="13" numFmtId="0" xfId="0" applyAlignment="1" applyBorder="1" applyFont="1">
      <alignment horizontal="center" readingOrder="0" vertical="center"/>
    </xf>
    <xf borderId="4" fillId="11" fontId="13" numFmtId="0" xfId="0" applyAlignment="1" applyBorder="1" applyFont="1">
      <alignment horizontal="center" readingOrder="0" vertical="center"/>
    </xf>
    <xf borderId="4" fillId="14" fontId="13" numFmtId="0" xfId="0" applyAlignment="1" applyBorder="1" applyFont="1">
      <alignment horizontal="center" readingOrder="0" vertical="center"/>
    </xf>
    <xf borderId="4" fillId="15" fontId="13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left" vertical="center"/>
    </xf>
    <xf borderId="7" fillId="3" fontId="8" numFmtId="0" xfId="0" applyBorder="1" applyFont="1"/>
    <xf borderId="4" fillId="18" fontId="8" numFmtId="0" xfId="0" applyBorder="1" applyFill="1" applyFont="1"/>
    <xf borderId="4" fillId="19" fontId="8" numFmtId="0" xfId="0" applyBorder="1" applyFill="1" applyFont="1"/>
    <xf borderId="1" fillId="7" fontId="6" numFmtId="0" xfId="0" applyAlignment="1" applyBorder="1" applyFont="1">
      <alignment horizontal="left" vertical="center"/>
    </xf>
    <xf borderId="7" fillId="13" fontId="8" numFmtId="0" xfId="0" applyBorder="1" applyFont="1"/>
    <xf borderId="4" fillId="10" fontId="14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left" readingOrder="0" vertical="center"/>
    </xf>
    <xf borderId="4" fillId="4" fontId="7" numFmtId="0" xfId="0" applyAlignment="1" applyBorder="1" applyFont="1">
      <alignment horizontal="center" readingOrder="0" vertical="center"/>
    </xf>
    <xf borderId="7" fillId="6" fontId="8" numFmtId="0" xfId="0" applyBorder="1" applyFont="1"/>
    <xf borderId="6" fillId="10" fontId="4" numFmtId="0" xfId="0" applyAlignment="1" applyBorder="1" applyFont="1">
      <alignment horizontal="center" readingOrder="0" vertical="center"/>
    </xf>
    <xf borderId="6" fillId="17" fontId="10" numFmtId="0" xfId="0" applyAlignment="1" applyBorder="1" applyFont="1">
      <alignment readingOrder="0" shrinkToFit="0" vertical="center" wrapText="1"/>
    </xf>
    <xf borderId="6" fillId="17" fontId="10" numFmtId="0" xfId="0" applyAlignment="1" applyBorder="1" applyFont="1">
      <alignment horizontal="center" readingOrder="0" shrinkToFit="0" vertical="center" wrapText="1"/>
    </xf>
    <xf borderId="6" fillId="17" fontId="10" numFmtId="0" xfId="0" applyAlignment="1" applyBorder="1" applyFont="1">
      <alignment horizontal="center" shrinkToFit="0" vertical="center" wrapText="1"/>
    </xf>
    <xf borderId="6" fillId="17" fontId="10" numFmtId="1" xfId="0" applyAlignment="1" applyBorder="1" applyFont="1" applyNumberFormat="1">
      <alignment horizontal="center" readingOrder="0" vertical="center"/>
    </xf>
    <xf borderId="1" fillId="11" fontId="6" numFmtId="0" xfId="0" applyAlignment="1" applyBorder="1" applyFont="1">
      <alignment horizontal="left" vertical="center"/>
    </xf>
    <xf borderId="7" fillId="20" fontId="8" numFmtId="0" xfId="0" applyBorder="1" applyFill="1" applyFont="1"/>
    <xf borderId="7" fillId="9" fontId="8" numFmtId="0" xfId="0" applyBorder="1" applyFont="1"/>
    <xf borderId="7" fillId="5" fontId="8" numFmtId="0" xfId="0" applyBorder="1" applyFont="1"/>
    <xf borderId="1" fillId="14" fontId="6" numFmtId="0" xfId="0" applyAlignment="1" applyBorder="1" applyFont="1">
      <alignment horizontal="left" vertical="center"/>
    </xf>
    <xf borderId="0" fillId="6" fontId="5" numFmtId="0" xfId="0" applyAlignment="1" applyFont="1">
      <alignment horizontal="center" readingOrder="0" vertical="center"/>
    </xf>
    <xf borderId="4" fillId="19" fontId="8" numFmtId="0" xfId="0" applyAlignment="1" applyBorder="1" applyFont="1">
      <alignment vertical="bottom"/>
    </xf>
    <xf borderId="7" fillId="6" fontId="8" numFmtId="0" xfId="0" applyAlignment="1" applyBorder="1" applyFont="1">
      <alignment vertical="bottom"/>
    </xf>
    <xf borderId="7" fillId="9" fontId="8" numFmtId="0" xfId="0" applyAlignment="1" applyBorder="1" applyFont="1">
      <alignment vertical="bottom"/>
    </xf>
    <xf borderId="1" fillId="15" fontId="6" numFmtId="0" xfId="0" applyAlignment="1" applyBorder="1" applyFont="1">
      <alignment horizontal="left" vertical="center"/>
    </xf>
    <xf borderId="1" fillId="16" fontId="6" numFmtId="0" xfId="0" applyAlignment="1" applyBorder="1" applyFont="1">
      <alignment horizontal="left" vertical="center"/>
    </xf>
    <xf borderId="7" fillId="21" fontId="8" numFmtId="0" xfId="0" applyBorder="1" applyFill="1" applyFont="1"/>
    <xf borderId="1" fillId="2" fontId="1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22" fontId="4" numFmtId="0" xfId="0" applyAlignment="1" applyBorder="1" applyFill="1" applyFont="1">
      <alignment horizontal="left" vertical="center"/>
    </xf>
    <xf borderId="1" fillId="3" fontId="4" numFmtId="0" xfId="0" applyAlignment="1" applyBorder="1" applyFont="1">
      <alignment horizontal="left" vertical="center"/>
    </xf>
    <xf borderId="4" fillId="23" fontId="6" numFmtId="0" xfId="0" applyAlignment="1" applyBorder="1" applyFill="1" applyFont="1">
      <alignment horizontal="center" vertical="center"/>
    </xf>
    <xf borderId="4" fillId="16" fontId="4" numFmtId="0" xfId="0" applyAlignment="1" applyBorder="1" applyFont="1">
      <alignment horizontal="center" vertical="center"/>
    </xf>
    <xf borderId="4" fillId="24" fontId="15" numFmtId="0" xfId="0" applyAlignment="1" applyBorder="1" applyFill="1" applyFont="1">
      <alignment horizontal="left" vertical="center"/>
    </xf>
    <xf borderId="8" fillId="17" fontId="16" numFmtId="0" xfId="0" applyAlignment="1" applyBorder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8" fillId="6" fontId="16" numFmtId="0" xfId="0" applyAlignment="1" applyBorder="1" applyFont="1">
      <alignment horizontal="left" vertical="center"/>
    </xf>
    <xf borderId="4" fillId="24" fontId="7" numFmtId="0" xfId="0" applyAlignment="1" applyBorder="1" applyFont="1">
      <alignment horizontal="left" vertical="center"/>
    </xf>
    <xf borderId="8" fillId="4" fontId="5" numFmtId="0" xfId="0" applyAlignment="1" applyBorder="1" applyFont="1">
      <alignment horizontal="left" shrinkToFit="0" vertical="center" wrapText="1"/>
    </xf>
    <xf borderId="8" fillId="4" fontId="5" numFmtId="0" xfId="0" applyAlignment="1" applyBorder="1" applyFont="1">
      <alignment horizontal="left" vertical="center"/>
    </xf>
    <xf borderId="8" fillId="6" fontId="5" numFmtId="0" xfId="0" applyAlignment="1" applyBorder="1" applyFont="1">
      <alignment horizontal="left" shrinkToFit="0" vertical="center" wrapText="1"/>
    </xf>
    <xf borderId="8" fillId="6" fontId="5" numFmtId="0" xfId="0" applyAlignment="1" applyBorder="1" applyFont="1">
      <alignment horizontal="left" vertical="center"/>
    </xf>
    <xf borderId="4" fillId="2" fontId="12" numFmtId="0" xfId="0" applyAlignment="1" applyBorder="1" applyFont="1">
      <alignment horizontal="center" vertical="center"/>
    </xf>
    <xf borderId="4" fillId="6" fontId="17" numFmtId="0" xfId="0" applyAlignment="1" applyBorder="1" applyFont="1">
      <alignment horizontal="center" vertical="center"/>
    </xf>
    <xf borderId="4" fillId="6" fontId="17" numFmtId="0" xfId="0" applyAlignment="1" applyBorder="1" applyFont="1">
      <alignment horizontal="left" shrinkToFit="0" vertical="center" wrapText="1"/>
    </xf>
    <xf borderId="4" fillId="6" fontId="17" numFmtId="164" xfId="0" applyAlignment="1" applyBorder="1" applyFont="1" applyNumberFormat="1">
      <alignment horizontal="center" vertical="center"/>
    </xf>
    <xf borderId="4" fillId="7" fontId="12" numFmtId="0" xfId="0" applyAlignment="1" applyBorder="1" applyFont="1">
      <alignment horizontal="center" vertical="center"/>
    </xf>
    <xf borderId="4" fillId="4" fontId="17" numFmtId="0" xfId="0" applyAlignment="1" applyBorder="1" applyFont="1">
      <alignment horizontal="center" vertical="center"/>
    </xf>
    <xf borderId="4" fillId="4" fontId="17" numFmtId="0" xfId="0" applyAlignment="1" applyBorder="1" applyFont="1">
      <alignment horizontal="left" readingOrder="0" shrinkToFit="0" vertical="center" wrapText="1"/>
    </xf>
    <xf borderId="4" fillId="4" fontId="17" numFmtId="0" xfId="0" applyAlignment="1" applyBorder="1" applyFont="1">
      <alignment horizontal="center" readingOrder="0" vertical="center"/>
    </xf>
    <xf borderId="4" fillId="4" fontId="17" numFmtId="164" xfId="0" applyAlignment="1" applyBorder="1" applyFont="1" applyNumberFormat="1">
      <alignment horizontal="center" vertical="center"/>
    </xf>
    <xf borderId="4" fillId="11" fontId="12" numFmtId="0" xfId="0" applyAlignment="1" applyBorder="1" applyFont="1">
      <alignment horizontal="center" vertical="center"/>
    </xf>
    <xf borderId="4" fillId="14" fontId="12" numFmtId="0" xfId="0" applyAlignment="1" applyBorder="1" applyFont="1">
      <alignment horizontal="center" vertical="center"/>
    </xf>
    <xf borderId="4" fillId="15" fontId="12" numFmtId="0" xfId="0" applyAlignment="1" applyBorder="1" applyFont="1">
      <alignment horizontal="center" vertical="center"/>
    </xf>
    <xf borderId="4" fillId="6" fontId="17" numFmtId="0" xfId="0" applyAlignment="1" applyBorder="1" applyFont="1">
      <alignment horizontal="center" readingOrder="0" vertical="center"/>
    </xf>
    <xf borderId="5" fillId="2" fontId="12" numFmtId="164" xfId="0" applyAlignment="1" applyBorder="1" applyFont="1" applyNumberFormat="1">
      <alignment horizontal="center" vertical="center"/>
    </xf>
    <xf borderId="8" fillId="24" fontId="11" numFmtId="0" xfId="0" applyAlignment="1" applyBorder="1" applyFont="1">
      <alignment horizontal="left" shrinkToFit="0" vertical="center" wrapText="1"/>
    </xf>
    <xf borderId="8" fillId="17" fontId="1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30.0"/>
    <col customWidth="1" min="3" max="3" width="17.0"/>
    <col customWidth="1" min="4" max="4" width="10.0"/>
    <col customWidth="1" min="5" max="5" width="8.0"/>
    <col customWidth="1" min="6" max="7" width="10.0"/>
    <col customWidth="1" min="8" max="8" width="15.0"/>
    <col customWidth="1" min="9" max="9" width="22.0"/>
    <col customWidth="1" min="10" max="10" width="56.0"/>
    <col customWidth="1" min="11" max="11" width="8.0"/>
    <col customWidth="1" min="12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ht="18.0" customHeight="1">
      <c r="A4" s="6" t="s">
        <v>13</v>
      </c>
      <c r="B4" s="2"/>
      <c r="C4" s="2"/>
      <c r="D4" s="2"/>
      <c r="E4" s="2"/>
      <c r="F4" s="2"/>
      <c r="G4" s="2"/>
      <c r="H4" s="2"/>
      <c r="I4" s="2"/>
      <c r="J4" s="2"/>
      <c r="K4" s="3"/>
    </row>
    <row r="5" ht="27.75" customHeight="1">
      <c r="A5" s="7" t="s">
        <v>14</v>
      </c>
      <c r="B5" s="8" t="s">
        <v>15</v>
      </c>
      <c r="C5" s="8" t="s">
        <v>16</v>
      </c>
      <c r="D5" s="9" t="s">
        <v>17</v>
      </c>
      <c r="E5" s="10">
        <v>7.0</v>
      </c>
      <c r="F5" s="11" t="s">
        <v>18</v>
      </c>
      <c r="G5" s="12" t="s">
        <v>19</v>
      </c>
      <c r="H5" s="8" t="s">
        <v>20</v>
      </c>
      <c r="I5" s="8" t="s">
        <v>21</v>
      </c>
      <c r="J5" s="13" t="s">
        <v>22</v>
      </c>
      <c r="K5" s="7"/>
    </row>
    <row r="6" ht="27.75" customHeight="1">
      <c r="A6" s="14" t="s">
        <v>23</v>
      </c>
      <c r="B6" s="15" t="s">
        <v>24</v>
      </c>
      <c r="C6" s="15" t="s">
        <v>16</v>
      </c>
      <c r="D6" s="9" t="s">
        <v>17</v>
      </c>
      <c r="E6" s="16">
        <v>6.0</v>
      </c>
      <c r="F6" s="11" t="s">
        <v>18</v>
      </c>
      <c r="G6" s="17" t="s">
        <v>19</v>
      </c>
      <c r="H6" s="15" t="s">
        <v>25</v>
      </c>
      <c r="I6" s="15" t="s">
        <v>14</v>
      </c>
      <c r="J6" s="18" t="s">
        <v>26</v>
      </c>
      <c r="K6" s="14"/>
    </row>
    <row r="7" ht="27.75" customHeight="1">
      <c r="A7" s="7" t="s">
        <v>27</v>
      </c>
      <c r="B7" s="8" t="s">
        <v>28</v>
      </c>
      <c r="C7" s="8" t="s">
        <v>29</v>
      </c>
      <c r="D7" s="9" t="s">
        <v>17</v>
      </c>
      <c r="E7" s="10">
        <v>8.0</v>
      </c>
      <c r="F7" s="11" t="s">
        <v>18</v>
      </c>
      <c r="G7" s="12" t="s">
        <v>19</v>
      </c>
      <c r="H7" s="8" t="s">
        <v>30</v>
      </c>
      <c r="I7" s="8" t="s">
        <v>14</v>
      </c>
      <c r="J7" s="13" t="s">
        <v>31</v>
      </c>
      <c r="K7" s="7"/>
    </row>
    <row r="8" ht="27.75" customHeight="1">
      <c r="A8" s="14" t="s">
        <v>32</v>
      </c>
      <c r="B8" s="15" t="s">
        <v>33</v>
      </c>
      <c r="C8" s="15" t="s">
        <v>34</v>
      </c>
      <c r="D8" s="9" t="s">
        <v>17</v>
      </c>
      <c r="E8" s="16">
        <v>7.0</v>
      </c>
      <c r="F8" s="11" t="s">
        <v>18</v>
      </c>
      <c r="G8" s="17" t="s">
        <v>19</v>
      </c>
      <c r="H8" s="15" t="s">
        <v>25</v>
      </c>
      <c r="I8" s="15" t="s">
        <v>23</v>
      </c>
      <c r="J8" s="19" t="s">
        <v>35</v>
      </c>
      <c r="K8" s="14"/>
    </row>
    <row r="9" ht="13.5" customHeight="1">
      <c r="A9" s="20" t="s">
        <v>36</v>
      </c>
      <c r="B9" s="2"/>
      <c r="C9" s="2"/>
      <c r="D9" s="3"/>
      <c r="E9" s="21">
        <v>28.0</v>
      </c>
      <c r="F9" s="22"/>
      <c r="G9" s="22"/>
      <c r="H9" s="22"/>
      <c r="I9" s="22"/>
      <c r="J9" s="22"/>
      <c r="K9" s="22"/>
    </row>
    <row r="10" ht="18.0" customHeight="1">
      <c r="A10" s="23" t="s">
        <v>37</v>
      </c>
      <c r="B10" s="2"/>
      <c r="C10" s="2"/>
      <c r="D10" s="2"/>
      <c r="E10" s="2"/>
      <c r="F10" s="2"/>
      <c r="G10" s="2"/>
      <c r="H10" s="2"/>
      <c r="I10" s="2"/>
      <c r="J10" s="2"/>
      <c r="K10" s="3"/>
    </row>
    <row r="11" ht="27.75" customHeight="1">
      <c r="A11" s="7" t="s">
        <v>38</v>
      </c>
      <c r="B11" s="8" t="s">
        <v>39</v>
      </c>
      <c r="C11" s="8" t="s">
        <v>40</v>
      </c>
      <c r="D11" s="9" t="s">
        <v>17</v>
      </c>
      <c r="E11" s="10">
        <v>7.0</v>
      </c>
      <c r="F11" s="24" t="s">
        <v>41</v>
      </c>
      <c r="G11" s="12" t="s">
        <v>19</v>
      </c>
      <c r="H11" s="8" t="s">
        <v>20</v>
      </c>
      <c r="I11" s="8" t="s">
        <v>32</v>
      </c>
      <c r="J11" s="13" t="s">
        <v>42</v>
      </c>
      <c r="K11" s="7"/>
    </row>
    <row r="12" ht="27.75" customHeight="1">
      <c r="A12" s="14" t="s">
        <v>43</v>
      </c>
      <c r="B12" s="15" t="s">
        <v>44</v>
      </c>
      <c r="C12" s="15" t="s">
        <v>29</v>
      </c>
      <c r="D12" s="9" t="s">
        <v>17</v>
      </c>
      <c r="E12" s="16">
        <v>12.0</v>
      </c>
      <c r="F12" s="24" t="s">
        <v>41</v>
      </c>
      <c r="G12" s="17" t="s">
        <v>19</v>
      </c>
      <c r="H12" s="15" t="s">
        <v>25</v>
      </c>
      <c r="I12" s="15" t="s">
        <v>45</v>
      </c>
      <c r="J12" s="18" t="s">
        <v>46</v>
      </c>
    </row>
    <row r="13" ht="27.75" customHeight="1">
      <c r="A13" s="25" t="s">
        <v>47</v>
      </c>
      <c r="B13" s="26" t="s">
        <v>48</v>
      </c>
      <c r="C13" s="26" t="s">
        <v>49</v>
      </c>
      <c r="D13" s="27" t="s">
        <v>50</v>
      </c>
      <c r="E13" s="28">
        <v>5.0</v>
      </c>
      <c r="F13" s="29" t="s">
        <v>41</v>
      </c>
      <c r="G13" s="25" t="s">
        <v>19</v>
      </c>
      <c r="H13" s="26" t="s">
        <v>51</v>
      </c>
      <c r="I13" s="26" t="s">
        <v>43</v>
      </c>
      <c r="J13" s="30" t="s">
        <v>52</v>
      </c>
      <c r="K13" s="31" t="s">
        <v>53</v>
      </c>
    </row>
    <row r="14" ht="27.75" customHeight="1">
      <c r="A14" s="32" t="s">
        <v>54</v>
      </c>
      <c r="B14" s="33" t="s">
        <v>55</v>
      </c>
      <c r="C14" s="33" t="s">
        <v>56</v>
      </c>
      <c r="D14" s="27" t="s">
        <v>50</v>
      </c>
      <c r="E14" s="34">
        <v>5.0</v>
      </c>
      <c r="F14" s="35" t="s">
        <v>41</v>
      </c>
      <c r="G14" s="32" t="s">
        <v>19</v>
      </c>
      <c r="H14" s="36" t="s">
        <v>57</v>
      </c>
      <c r="I14" s="33" t="s">
        <v>43</v>
      </c>
      <c r="J14" s="36" t="s">
        <v>58</v>
      </c>
      <c r="K14" s="31" t="s">
        <v>53</v>
      </c>
    </row>
    <row r="15" ht="27.75" customHeight="1">
      <c r="A15" s="7" t="s">
        <v>59</v>
      </c>
      <c r="B15" s="8" t="s">
        <v>60</v>
      </c>
      <c r="C15" s="8" t="s">
        <v>56</v>
      </c>
      <c r="D15" s="9" t="s">
        <v>17</v>
      </c>
      <c r="E15" s="10">
        <v>5.0</v>
      </c>
      <c r="F15" s="24" t="s">
        <v>41</v>
      </c>
      <c r="G15" s="12" t="s">
        <v>19</v>
      </c>
      <c r="H15" s="8" t="s">
        <v>25</v>
      </c>
      <c r="I15" s="8" t="s">
        <v>32</v>
      </c>
      <c r="J15" s="13" t="s">
        <v>61</v>
      </c>
      <c r="K15" s="7"/>
    </row>
    <row r="16" ht="13.5" customHeight="1">
      <c r="A16" s="37" t="s">
        <v>62</v>
      </c>
      <c r="B16" s="2"/>
      <c r="C16" s="2"/>
      <c r="D16" s="3"/>
      <c r="E16" s="38">
        <v>34.0</v>
      </c>
      <c r="F16" s="39"/>
      <c r="G16" s="39"/>
      <c r="H16" s="39"/>
      <c r="I16" s="39"/>
      <c r="J16" s="39"/>
      <c r="K16" s="39"/>
    </row>
    <row r="17" ht="18.0" customHeight="1">
      <c r="A17" s="40" t="s">
        <v>63</v>
      </c>
      <c r="B17" s="2"/>
      <c r="C17" s="2"/>
      <c r="D17" s="2"/>
      <c r="E17" s="2"/>
      <c r="F17" s="2"/>
      <c r="G17" s="2"/>
      <c r="H17" s="2"/>
      <c r="I17" s="2"/>
      <c r="J17" s="2"/>
      <c r="K17" s="3"/>
    </row>
    <row r="18" ht="27.75" customHeight="1">
      <c r="A18" s="14" t="s">
        <v>64</v>
      </c>
      <c r="B18" s="15" t="s">
        <v>65</v>
      </c>
      <c r="C18" s="15" t="s">
        <v>66</v>
      </c>
      <c r="D18" s="9" t="s">
        <v>17</v>
      </c>
      <c r="E18" s="16">
        <v>12.0</v>
      </c>
      <c r="F18" s="41" t="s">
        <v>67</v>
      </c>
      <c r="G18" s="14" t="s">
        <v>68</v>
      </c>
      <c r="H18" s="15" t="s">
        <v>69</v>
      </c>
      <c r="I18" s="15" t="s">
        <v>70</v>
      </c>
      <c r="J18" s="19" t="s">
        <v>71</v>
      </c>
      <c r="K18" s="14"/>
    </row>
    <row r="19" ht="27.75" customHeight="1">
      <c r="A19" s="7" t="s">
        <v>72</v>
      </c>
      <c r="B19" s="8" t="s">
        <v>73</v>
      </c>
      <c r="C19" s="8" t="s">
        <v>56</v>
      </c>
      <c r="D19" s="27" t="s">
        <v>50</v>
      </c>
      <c r="E19" s="10">
        <v>7.0</v>
      </c>
      <c r="F19" s="41" t="s">
        <v>67</v>
      </c>
      <c r="G19" s="12" t="s">
        <v>19</v>
      </c>
      <c r="H19" s="8" t="s">
        <v>74</v>
      </c>
      <c r="I19" s="8" t="s">
        <v>75</v>
      </c>
      <c r="J19" s="13" t="s">
        <v>76</v>
      </c>
      <c r="K19" s="7"/>
    </row>
    <row r="20" ht="27.75" customHeight="1">
      <c r="A20" s="42" t="s">
        <v>77</v>
      </c>
      <c r="B20" s="43" t="s">
        <v>78</v>
      </c>
      <c r="C20" s="43" t="s">
        <v>56</v>
      </c>
      <c r="D20" s="27" t="s">
        <v>50</v>
      </c>
      <c r="E20" s="44">
        <v>3.0</v>
      </c>
      <c r="F20" s="41" t="s">
        <v>67</v>
      </c>
      <c r="G20" s="45" t="s">
        <v>19</v>
      </c>
      <c r="H20" s="43" t="s">
        <v>74</v>
      </c>
      <c r="I20" s="43" t="s">
        <v>79</v>
      </c>
      <c r="J20" s="46" t="s">
        <v>80</v>
      </c>
      <c r="K20" s="31" t="s">
        <v>53</v>
      </c>
    </row>
    <row r="21" ht="27.75" customHeight="1">
      <c r="A21" s="7" t="s">
        <v>81</v>
      </c>
      <c r="B21" s="8" t="s">
        <v>82</v>
      </c>
      <c r="C21" s="8" t="s">
        <v>56</v>
      </c>
      <c r="D21" s="47" t="s">
        <v>83</v>
      </c>
      <c r="E21" s="10">
        <v>4.0</v>
      </c>
      <c r="F21" s="41" t="s">
        <v>67</v>
      </c>
      <c r="G21" s="12" t="s">
        <v>19</v>
      </c>
      <c r="H21" s="8" t="s">
        <v>57</v>
      </c>
      <c r="I21" s="8" t="s">
        <v>59</v>
      </c>
      <c r="J21" s="13" t="s">
        <v>84</v>
      </c>
      <c r="K21" s="7"/>
    </row>
    <row r="22" ht="27.75" customHeight="1">
      <c r="A22" s="14" t="s">
        <v>85</v>
      </c>
      <c r="B22" s="15" t="s">
        <v>86</v>
      </c>
      <c r="C22" s="15" t="s">
        <v>56</v>
      </c>
      <c r="D22" s="47" t="s">
        <v>83</v>
      </c>
      <c r="E22" s="16">
        <v>5.0</v>
      </c>
      <c r="F22" s="41" t="s">
        <v>67</v>
      </c>
      <c r="G22" s="17" t="s">
        <v>19</v>
      </c>
      <c r="H22" s="15" t="s">
        <v>57</v>
      </c>
      <c r="I22" s="15" t="s">
        <v>59</v>
      </c>
      <c r="J22" s="18" t="s">
        <v>87</v>
      </c>
      <c r="K22" s="14"/>
    </row>
    <row r="23" ht="13.5" customHeight="1">
      <c r="A23" s="48" t="s">
        <v>88</v>
      </c>
      <c r="B23" s="2"/>
      <c r="C23" s="2"/>
      <c r="D23" s="3"/>
      <c r="E23" s="49">
        <v>31.0</v>
      </c>
      <c r="F23" s="50"/>
      <c r="G23" s="50"/>
      <c r="H23" s="50"/>
      <c r="I23" s="50"/>
      <c r="J23" s="50"/>
      <c r="K23" s="50"/>
    </row>
    <row r="24" ht="18.0" customHeight="1">
      <c r="A24" s="51" t="s">
        <v>89</v>
      </c>
      <c r="B24" s="2"/>
      <c r="C24" s="2"/>
      <c r="D24" s="2"/>
      <c r="E24" s="2"/>
      <c r="F24" s="2"/>
      <c r="G24" s="2"/>
      <c r="H24" s="2"/>
      <c r="I24" s="2"/>
      <c r="J24" s="2"/>
      <c r="K24" s="3"/>
    </row>
    <row r="25" ht="27.75" customHeight="1">
      <c r="A25" s="7" t="s">
        <v>90</v>
      </c>
      <c r="B25" s="8" t="s">
        <v>91</v>
      </c>
      <c r="C25" s="8" t="s">
        <v>56</v>
      </c>
      <c r="D25" s="9" t="s">
        <v>17</v>
      </c>
      <c r="E25" s="10">
        <v>8.0</v>
      </c>
      <c r="F25" s="52" t="s">
        <v>92</v>
      </c>
      <c r="G25" s="17" t="s">
        <v>19</v>
      </c>
      <c r="H25" s="8" t="s">
        <v>74</v>
      </c>
      <c r="I25" s="8" t="s">
        <v>93</v>
      </c>
      <c r="J25" s="13" t="s">
        <v>94</v>
      </c>
      <c r="K25" s="7"/>
    </row>
    <row r="26" ht="27.75" customHeight="1">
      <c r="A26" s="14" t="s">
        <v>95</v>
      </c>
      <c r="B26" s="15" t="s">
        <v>96</v>
      </c>
      <c r="C26" s="15" t="s">
        <v>56</v>
      </c>
      <c r="D26" s="9" t="s">
        <v>17</v>
      </c>
      <c r="E26" s="16">
        <v>12.0</v>
      </c>
      <c r="F26" s="52" t="s">
        <v>92</v>
      </c>
      <c r="G26" s="17" t="s">
        <v>19</v>
      </c>
      <c r="H26" s="15" t="s">
        <v>30</v>
      </c>
      <c r="I26" s="15" t="s">
        <v>97</v>
      </c>
      <c r="J26" s="18" t="s">
        <v>98</v>
      </c>
      <c r="K26" s="14"/>
    </row>
    <row r="27" ht="27.75" customHeight="1">
      <c r="A27" s="25" t="s">
        <v>99</v>
      </c>
      <c r="B27" s="26" t="s">
        <v>100</v>
      </c>
      <c r="C27" s="26" t="s">
        <v>66</v>
      </c>
      <c r="D27" s="53" t="s">
        <v>50</v>
      </c>
      <c r="E27" s="28">
        <v>5.0</v>
      </c>
      <c r="F27" s="54" t="s">
        <v>92</v>
      </c>
      <c r="G27" s="25" t="s">
        <v>68</v>
      </c>
      <c r="H27" s="26" t="s">
        <v>51</v>
      </c>
      <c r="I27" s="26" t="s">
        <v>64</v>
      </c>
      <c r="J27" s="55" t="s">
        <v>101</v>
      </c>
      <c r="K27" s="31" t="s">
        <v>53</v>
      </c>
    </row>
    <row r="28" ht="27.75" customHeight="1">
      <c r="A28" s="7" t="s">
        <v>102</v>
      </c>
      <c r="B28" s="8" t="s">
        <v>103</v>
      </c>
      <c r="C28" s="8" t="s">
        <v>104</v>
      </c>
      <c r="D28" s="27" t="s">
        <v>50</v>
      </c>
      <c r="E28" s="10">
        <v>7.0</v>
      </c>
      <c r="F28" s="52" t="s">
        <v>92</v>
      </c>
      <c r="G28" s="17" t="s">
        <v>19</v>
      </c>
      <c r="H28" s="8" t="s">
        <v>51</v>
      </c>
      <c r="I28" s="8" t="s">
        <v>105</v>
      </c>
      <c r="J28" s="13" t="s">
        <v>106</v>
      </c>
      <c r="K28" s="7"/>
    </row>
    <row r="29" ht="13.5" customHeight="1">
      <c r="A29" s="56" t="s">
        <v>107</v>
      </c>
      <c r="B29" s="2"/>
      <c r="C29" s="2"/>
      <c r="D29" s="3"/>
      <c r="E29" s="57">
        <v>27.0</v>
      </c>
      <c r="F29" s="58"/>
      <c r="G29" s="58"/>
      <c r="H29" s="58"/>
      <c r="I29" s="58"/>
      <c r="J29" s="58"/>
      <c r="K29" s="58"/>
    </row>
    <row r="30" ht="18.0" customHeight="1">
      <c r="A30" s="59" t="s">
        <v>108</v>
      </c>
      <c r="B30" s="2"/>
      <c r="C30" s="2"/>
      <c r="D30" s="2"/>
      <c r="E30" s="2"/>
      <c r="F30" s="2"/>
      <c r="G30" s="2"/>
      <c r="H30" s="2"/>
      <c r="I30" s="2"/>
      <c r="J30" s="2"/>
      <c r="K30" s="3"/>
    </row>
    <row r="31" ht="27.75" customHeight="1">
      <c r="A31" s="14" t="s">
        <v>109</v>
      </c>
      <c r="B31" s="15" t="s">
        <v>110</v>
      </c>
      <c r="C31" s="15" t="s">
        <v>111</v>
      </c>
      <c r="D31" s="27" t="s">
        <v>50</v>
      </c>
      <c r="E31" s="16">
        <v>7.0</v>
      </c>
      <c r="F31" s="60" t="s">
        <v>112</v>
      </c>
      <c r="G31" s="17" t="s">
        <v>19</v>
      </c>
      <c r="H31" s="15" t="s">
        <v>113</v>
      </c>
      <c r="I31" s="15" t="s">
        <v>105</v>
      </c>
      <c r="J31" s="18" t="s">
        <v>114</v>
      </c>
      <c r="K31" s="14"/>
    </row>
    <row r="32" ht="27.75" customHeight="1">
      <c r="A32" s="42" t="s">
        <v>115</v>
      </c>
      <c r="B32" s="61" t="s">
        <v>116</v>
      </c>
      <c r="C32" s="43" t="s">
        <v>104</v>
      </c>
      <c r="D32" s="27" t="s">
        <v>50</v>
      </c>
      <c r="E32" s="44">
        <v>8.0</v>
      </c>
      <c r="F32" s="60" t="s">
        <v>112</v>
      </c>
      <c r="G32" s="17" t="s">
        <v>19</v>
      </c>
      <c r="H32" s="43" t="s">
        <v>51</v>
      </c>
      <c r="I32" s="43" t="s">
        <v>102</v>
      </c>
      <c r="J32" s="62" t="s">
        <v>117</v>
      </c>
      <c r="K32" s="31" t="s">
        <v>53</v>
      </c>
    </row>
    <row r="33" ht="27.75" customHeight="1">
      <c r="A33" s="14" t="s">
        <v>118</v>
      </c>
      <c r="B33" s="15" t="s">
        <v>119</v>
      </c>
      <c r="C33" s="15" t="s">
        <v>120</v>
      </c>
      <c r="D33" s="9" t="s">
        <v>17</v>
      </c>
      <c r="E33" s="16">
        <v>6.0</v>
      </c>
      <c r="F33" s="60" t="s">
        <v>112</v>
      </c>
      <c r="G33" s="14" t="s">
        <v>68</v>
      </c>
      <c r="H33" s="15" t="s">
        <v>69</v>
      </c>
      <c r="I33" s="15" t="s">
        <v>121</v>
      </c>
      <c r="J33" s="18" t="s">
        <v>122</v>
      </c>
      <c r="K33" s="14"/>
    </row>
    <row r="34" ht="27.75" customHeight="1">
      <c r="A34" s="7" t="s">
        <v>123</v>
      </c>
      <c r="B34" s="8" t="s">
        <v>124</v>
      </c>
      <c r="C34" s="8" t="s">
        <v>120</v>
      </c>
      <c r="D34" s="27" t="s">
        <v>50</v>
      </c>
      <c r="E34" s="10">
        <v>6.0</v>
      </c>
      <c r="F34" s="60" t="s">
        <v>112</v>
      </c>
      <c r="G34" s="7" t="s">
        <v>68</v>
      </c>
      <c r="H34" s="8" t="s">
        <v>69</v>
      </c>
      <c r="I34" s="8" t="s">
        <v>118</v>
      </c>
      <c r="J34" s="13" t="s">
        <v>125</v>
      </c>
      <c r="K34" s="7"/>
    </row>
    <row r="35" ht="27.75" customHeight="1">
      <c r="A35" s="14" t="s">
        <v>126</v>
      </c>
      <c r="B35" s="15" t="s">
        <v>127</v>
      </c>
      <c r="C35" s="15" t="s">
        <v>128</v>
      </c>
      <c r="D35" s="9" t="s">
        <v>17</v>
      </c>
      <c r="E35" s="16">
        <v>6.0</v>
      </c>
      <c r="F35" s="60" t="s">
        <v>112</v>
      </c>
      <c r="G35" s="14" t="s">
        <v>68</v>
      </c>
      <c r="H35" s="15" t="s">
        <v>129</v>
      </c>
      <c r="I35" s="15" t="s">
        <v>118</v>
      </c>
      <c r="J35" s="18" t="s">
        <v>130</v>
      </c>
      <c r="K35" s="14"/>
    </row>
    <row r="36" ht="13.5" customHeight="1">
      <c r="A36" s="63" t="s">
        <v>131</v>
      </c>
      <c r="B36" s="2"/>
      <c r="C36" s="2"/>
      <c r="D36" s="3"/>
      <c r="E36" s="64">
        <v>33.0</v>
      </c>
      <c r="F36" s="65"/>
      <c r="G36" s="65"/>
      <c r="H36" s="65"/>
      <c r="I36" s="65"/>
      <c r="J36" s="65"/>
      <c r="K36" s="65"/>
    </row>
    <row r="37" ht="15.75" customHeight="1">
      <c r="A37" s="66" t="s">
        <v>132</v>
      </c>
      <c r="B37" s="2"/>
      <c r="C37" s="2"/>
      <c r="D37" s="2"/>
      <c r="E37" s="2"/>
      <c r="F37" s="2"/>
      <c r="G37" s="2"/>
      <c r="H37" s="2"/>
      <c r="I37" s="2"/>
      <c r="J37" s="2"/>
      <c r="K37" s="3"/>
    </row>
    <row r="38" ht="25.5" customHeight="1">
      <c r="A38" s="67" t="s">
        <v>133</v>
      </c>
      <c r="B38" s="68" t="s">
        <v>134</v>
      </c>
      <c r="C38" s="68" t="s">
        <v>135</v>
      </c>
      <c r="D38" s="67" t="s">
        <v>136</v>
      </c>
      <c r="E38" s="67" t="s">
        <v>137</v>
      </c>
      <c r="F38" s="67" t="s">
        <v>137</v>
      </c>
      <c r="G38" s="67" t="s">
        <v>136</v>
      </c>
      <c r="H38" s="68" t="s">
        <v>69</v>
      </c>
      <c r="I38" s="68" t="s">
        <v>138</v>
      </c>
      <c r="J38" s="69" t="s">
        <v>139</v>
      </c>
      <c r="K38" s="68"/>
    </row>
    <row r="39" ht="25.5" customHeight="1">
      <c r="A39" s="70" t="s">
        <v>140</v>
      </c>
      <c r="B39" s="71" t="s">
        <v>141</v>
      </c>
      <c r="C39" s="71" t="s">
        <v>135</v>
      </c>
      <c r="D39" s="70" t="s">
        <v>136</v>
      </c>
      <c r="E39" s="70" t="s">
        <v>137</v>
      </c>
      <c r="F39" s="70" t="s">
        <v>137</v>
      </c>
      <c r="G39" s="70" t="s">
        <v>136</v>
      </c>
      <c r="H39" s="71" t="s">
        <v>69</v>
      </c>
      <c r="I39" s="71" t="s">
        <v>138</v>
      </c>
      <c r="J39" s="72" t="s">
        <v>142</v>
      </c>
      <c r="K39" s="71"/>
    </row>
    <row r="40" ht="21.75" customHeight="1">
      <c r="A40" s="73" t="s">
        <v>143</v>
      </c>
      <c r="B40" s="2"/>
      <c r="C40" s="2"/>
      <c r="D40" s="3"/>
      <c r="E40" s="74">
        <v>158.0</v>
      </c>
      <c r="F40" s="22"/>
      <c r="G40" s="22"/>
      <c r="H40" s="22"/>
      <c r="I40" s="22"/>
      <c r="J40" s="22"/>
      <c r="K40" s="2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4">
    <mergeCell ref="A23:D23"/>
    <mergeCell ref="A24:K24"/>
    <mergeCell ref="A29:D29"/>
    <mergeCell ref="A30:K30"/>
    <mergeCell ref="A36:D36"/>
    <mergeCell ref="A37:K37"/>
    <mergeCell ref="A40:D40"/>
    <mergeCell ref="A1:K1"/>
    <mergeCell ref="A2:K2"/>
    <mergeCell ref="A4:K4"/>
    <mergeCell ref="A9:D9"/>
    <mergeCell ref="A10:K10"/>
    <mergeCell ref="A16:D16"/>
    <mergeCell ref="A17:K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showGridLines="0"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14.0"/>
    <col customWidth="1" min="4" max="4" width="13.0"/>
    <col customWidth="1" min="5" max="5" width="6.0"/>
    <col customWidth="1" min="6" max="6" width="9.0"/>
    <col customWidth="1" min="7" max="7" width="10.0"/>
    <col customWidth="1" min="8" max="32" width="4.0"/>
  </cols>
  <sheetData>
    <row r="1" ht="31.5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18.0" customHeight="1">
      <c r="A2" s="4" t="s">
        <v>145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</row>
    <row r="3" ht="15.75" customHeight="1">
      <c r="H3" s="75" t="s">
        <v>146</v>
      </c>
      <c r="I3" s="2"/>
      <c r="J3" s="2"/>
      <c r="K3" s="2"/>
      <c r="L3" s="3"/>
      <c r="M3" s="76" t="s">
        <v>147</v>
      </c>
      <c r="N3" s="2"/>
      <c r="O3" s="2"/>
      <c r="P3" s="2"/>
      <c r="Q3" s="3"/>
      <c r="R3" s="77" t="s">
        <v>148</v>
      </c>
      <c r="S3" s="2"/>
      <c r="T3" s="2"/>
      <c r="U3" s="2"/>
      <c r="V3" s="3"/>
      <c r="W3" s="78" t="s">
        <v>149</v>
      </c>
      <c r="X3" s="2"/>
      <c r="Y3" s="2"/>
      <c r="Z3" s="2"/>
      <c r="AA3" s="3"/>
      <c r="AB3" s="79" t="s">
        <v>150</v>
      </c>
      <c r="AC3" s="2"/>
      <c r="AD3" s="2"/>
      <c r="AE3" s="2"/>
      <c r="AF3" s="3"/>
    </row>
    <row r="4" ht="18.0" customHeight="1">
      <c r="A4" s="5" t="s">
        <v>2</v>
      </c>
      <c r="B4" s="5" t="s">
        <v>3</v>
      </c>
      <c r="C4" s="5" t="s">
        <v>4</v>
      </c>
      <c r="D4" s="5" t="s">
        <v>9</v>
      </c>
      <c r="E4" s="5" t="s">
        <v>151</v>
      </c>
      <c r="F4" s="5" t="s">
        <v>7</v>
      </c>
      <c r="G4" s="5" t="s">
        <v>8</v>
      </c>
      <c r="H4" s="80">
        <v>23.0</v>
      </c>
      <c r="I4" s="80">
        <v>24.0</v>
      </c>
      <c r="J4" s="80">
        <v>27.0</v>
      </c>
      <c r="K4" s="80">
        <v>28.0</v>
      </c>
      <c r="L4" s="80">
        <v>29.0</v>
      </c>
      <c r="M4" s="81">
        <v>30.0</v>
      </c>
      <c r="N4" s="81">
        <v>1.0</v>
      </c>
      <c r="O4" s="81">
        <v>4.0</v>
      </c>
      <c r="P4" s="81">
        <v>5.0</v>
      </c>
      <c r="Q4" s="81">
        <v>6.0</v>
      </c>
      <c r="R4" s="82">
        <v>7.0</v>
      </c>
      <c r="S4" s="82">
        <v>8.0</v>
      </c>
      <c r="T4" s="82">
        <v>11.0</v>
      </c>
      <c r="U4" s="82">
        <v>12.0</v>
      </c>
      <c r="V4" s="82">
        <v>13.0</v>
      </c>
      <c r="W4" s="83">
        <v>14.0</v>
      </c>
      <c r="X4" s="83">
        <v>15.0</v>
      </c>
      <c r="Y4" s="83">
        <v>18.0</v>
      </c>
      <c r="Z4" s="83">
        <v>19.0</v>
      </c>
      <c r="AA4" s="83">
        <v>20.0</v>
      </c>
      <c r="AB4" s="84">
        <v>21.0</v>
      </c>
      <c r="AC4" s="84">
        <v>22.0</v>
      </c>
      <c r="AD4" s="84">
        <v>25.0</v>
      </c>
      <c r="AE4" s="84">
        <v>26.0</v>
      </c>
      <c r="AF4" s="84">
        <v>27.0</v>
      </c>
    </row>
    <row r="5" ht="13.5" customHeight="1">
      <c r="A5" s="85" t="s">
        <v>152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</row>
    <row r="6" ht="16.5" customHeight="1">
      <c r="A6" s="7" t="s">
        <v>14</v>
      </c>
      <c r="B6" s="8" t="s">
        <v>15</v>
      </c>
      <c r="C6" s="7" t="s">
        <v>16</v>
      </c>
      <c r="D6" s="7" t="s">
        <v>20</v>
      </c>
      <c r="E6" s="7">
        <v>7.0</v>
      </c>
      <c r="F6" s="11" t="s">
        <v>18</v>
      </c>
      <c r="G6" s="12" t="s">
        <v>19</v>
      </c>
      <c r="H6" s="86"/>
      <c r="I6" s="86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</row>
    <row r="7" ht="16.5" customHeight="1">
      <c r="A7" s="14" t="s">
        <v>23</v>
      </c>
      <c r="B7" s="15" t="s">
        <v>24</v>
      </c>
      <c r="C7" s="14" t="s">
        <v>16</v>
      </c>
      <c r="D7" s="14" t="s">
        <v>25</v>
      </c>
      <c r="E7" s="14">
        <v>6.0</v>
      </c>
      <c r="F7" s="11" t="s">
        <v>18</v>
      </c>
      <c r="G7" s="17" t="s">
        <v>19</v>
      </c>
      <c r="H7" s="88"/>
      <c r="I7" s="86"/>
      <c r="J7" s="86"/>
      <c r="K7" s="86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</row>
    <row r="8" ht="16.5" customHeight="1">
      <c r="A8" s="7" t="s">
        <v>27</v>
      </c>
      <c r="B8" s="8" t="s">
        <v>28</v>
      </c>
      <c r="C8" s="7" t="s">
        <v>29</v>
      </c>
      <c r="D8" s="7" t="s">
        <v>30</v>
      </c>
      <c r="E8" s="7">
        <v>8.0</v>
      </c>
      <c r="F8" s="11" t="s">
        <v>18</v>
      </c>
      <c r="G8" s="12" t="s">
        <v>19</v>
      </c>
      <c r="H8" s="86"/>
      <c r="I8" s="86"/>
      <c r="J8" s="86"/>
      <c r="K8" s="86"/>
      <c r="L8" s="86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</row>
    <row r="9" ht="16.5" customHeight="1">
      <c r="A9" s="14" t="s">
        <v>32</v>
      </c>
      <c r="B9" s="15" t="s">
        <v>33</v>
      </c>
      <c r="C9" s="14" t="s">
        <v>34</v>
      </c>
      <c r="D9" s="14" t="s">
        <v>25</v>
      </c>
      <c r="E9" s="14">
        <v>7.0</v>
      </c>
      <c r="F9" s="11" t="s">
        <v>18</v>
      </c>
      <c r="G9" s="17" t="s">
        <v>19</v>
      </c>
      <c r="H9" s="88"/>
      <c r="I9" s="88"/>
      <c r="J9" s="86"/>
      <c r="K9" s="86"/>
      <c r="L9" s="86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</row>
    <row r="10" ht="13.5" customHeight="1">
      <c r="A10" s="89" t="s">
        <v>153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3"/>
    </row>
    <row r="11" ht="16.5" customHeight="1">
      <c r="A11" s="14" t="s">
        <v>38</v>
      </c>
      <c r="B11" s="15" t="s">
        <v>39</v>
      </c>
      <c r="C11" s="14" t="s">
        <v>40</v>
      </c>
      <c r="D11" s="14" t="s">
        <v>20</v>
      </c>
      <c r="E11" s="14">
        <v>7.0</v>
      </c>
      <c r="F11" s="24" t="s">
        <v>41</v>
      </c>
      <c r="G11" s="17" t="s">
        <v>19</v>
      </c>
      <c r="H11" s="88"/>
      <c r="I11" s="88"/>
      <c r="J11" s="88"/>
      <c r="K11" s="88"/>
      <c r="L11" s="88"/>
      <c r="M11" s="90"/>
      <c r="N11" s="90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</row>
    <row r="12" ht="16.5" customHeight="1">
      <c r="A12" s="7" t="s">
        <v>43</v>
      </c>
      <c r="B12" s="8" t="s">
        <v>44</v>
      </c>
      <c r="C12" s="7" t="s">
        <v>29</v>
      </c>
      <c r="D12" s="7" t="s">
        <v>25</v>
      </c>
      <c r="E12" s="7">
        <v>12.0</v>
      </c>
      <c r="F12" s="24" t="s">
        <v>41</v>
      </c>
      <c r="G12" s="12" t="s">
        <v>19</v>
      </c>
      <c r="H12" s="87"/>
      <c r="I12" s="87"/>
      <c r="J12" s="87"/>
      <c r="K12" s="87"/>
      <c r="L12" s="87"/>
      <c r="M12" s="90"/>
      <c r="N12" s="90"/>
      <c r="O12" s="90"/>
      <c r="P12" s="90"/>
      <c r="Q12" s="90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</row>
    <row r="13" ht="16.5" customHeight="1">
      <c r="A13" s="14" t="s">
        <v>59</v>
      </c>
      <c r="B13" s="15" t="s">
        <v>60</v>
      </c>
      <c r="C13" s="14" t="s">
        <v>56</v>
      </c>
      <c r="D13" s="14" t="s">
        <v>25</v>
      </c>
      <c r="E13" s="14">
        <v>5.0</v>
      </c>
      <c r="F13" s="24" t="s">
        <v>41</v>
      </c>
      <c r="G13" s="17" t="s">
        <v>19</v>
      </c>
      <c r="H13" s="88"/>
      <c r="I13" s="88"/>
      <c r="J13" s="88"/>
      <c r="K13" s="88"/>
      <c r="L13" s="88"/>
      <c r="M13" s="88"/>
      <c r="N13" s="88"/>
      <c r="O13" s="90"/>
      <c r="P13" s="90"/>
      <c r="Q13" s="90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</row>
    <row r="14" ht="16.5" customHeight="1">
      <c r="A14" s="91" t="s">
        <v>47</v>
      </c>
      <c r="B14" s="92" t="s">
        <v>48</v>
      </c>
      <c r="C14" s="12" t="s">
        <v>49</v>
      </c>
      <c r="D14" s="12" t="s">
        <v>51</v>
      </c>
      <c r="E14" s="93">
        <v>5.0</v>
      </c>
      <c r="F14" s="24" t="s">
        <v>41</v>
      </c>
      <c r="G14" s="12" t="s">
        <v>19</v>
      </c>
      <c r="H14" s="88"/>
      <c r="I14" s="88"/>
      <c r="J14" s="88"/>
      <c r="K14" s="88"/>
      <c r="L14" s="88"/>
      <c r="M14" s="88"/>
      <c r="O14" s="94"/>
      <c r="P14" s="90"/>
      <c r="Q14" s="90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</row>
    <row r="15" ht="16.5" customHeight="1">
      <c r="A15" s="95" t="s">
        <v>54</v>
      </c>
      <c r="B15" s="96" t="s">
        <v>55</v>
      </c>
      <c r="C15" s="97" t="s">
        <v>56</v>
      </c>
      <c r="D15" s="98" t="s">
        <v>57</v>
      </c>
      <c r="E15" s="99">
        <v>5.0</v>
      </c>
      <c r="F15" s="24" t="s">
        <v>41</v>
      </c>
      <c r="G15" s="12" t="s">
        <v>19</v>
      </c>
      <c r="H15" s="88"/>
      <c r="I15" s="88"/>
      <c r="J15" s="88"/>
      <c r="K15" s="88"/>
      <c r="L15" s="88"/>
      <c r="M15" s="88"/>
      <c r="N15" s="88"/>
      <c r="O15" s="88"/>
      <c r="P15" s="90"/>
      <c r="Q15" s="90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</row>
    <row r="16" ht="13.5" customHeight="1">
      <c r="A16" s="100" t="s">
        <v>154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3"/>
    </row>
    <row r="17" ht="16.5" customHeight="1">
      <c r="A17" s="14" t="s">
        <v>64</v>
      </c>
      <c r="B17" s="15" t="s">
        <v>65</v>
      </c>
      <c r="C17" s="14" t="s">
        <v>66</v>
      </c>
      <c r="D17" s="14" t="s">
        <v>69</v>
      </c>
      <c r="E17" s="14">
        <v>12.0</v>
      </c>
      <c r="F17" s="41" t="s">
        <v>67</v>
      </c>
      <c r="G17" s="14" t="s">
        <v>68</v>
      </c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101"/>
      <c r="S17" s="101"/>
      <c r="T17" s="101"/>
      <c r="U17" s="101"/>
      <c r="V17" s="101"/>
      <c r="W17" s="102"/>
      <c r="X17" s="102"/>
      <c r="Y17" s="102"/>
      <c r="Z17" s="102"/>
      <c r="AA17" s="102"/>
      <c r="AB17" s="103"/>
      <c r="AC17" s="103"/>
      <c r="AD17" s="103"/>
      <c r="AE17" s="103"/>
      <c r="AF17" s="103"/>
    </row>
    <row r="18" ht="16.5" customHeight="1">
      <c r="A18" s="7" t="s">
        <v>72</v>
      </c>
      <c r="B18" s="8" t="s">
        <v>73</v>
      </c>
      <c r="C18" s="7" t="s">
        <v>56</v>
      </c>
      <c r="D18" s="7" t="s">
        <v>74</v>
      </c>
      <c r="E18" s="7">
        <v>7.0</v>
      </c>
      <c r="F18" s="41" t="s">
        <v>67</v>
      </c>
      <c r="G18" s="12" t="s">
        <v>19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101"/>
      <c r="U18" s="101"/>
      <c r="V18" s="101"/>
      <c r="W18" s="87"/>
      <c r="X18" s="87"/>
      <c r="Y18" s="87"/>
      <c r="Z18" s="87"/>
      <c r="AA18" s="87"/>
      <c r="AB18" s="87"/>
      <c r="AC18" s="87"/>
      <c r="AD18" s="87"/>
      <c r="AE18" s="87"/>
      <c r="AF18" s="87"/>
    </row>
    <row r="19" ht="16.5" customHeight="1">
      <c r="A19" s="31" t="s">
        <v>77</v>
      </c>
      <c r="B19" s="43" t="s">
        <v>78</v>
      </c>
      <c r="C19" s="42" t="s">
        <v>56</v>
      </c>
      <c r="D19" s="42" t="s">
        <v>74</v>
      </c>
      <c r="E19" s="42">
        <v>3.0</v>
      </c>
      <c r="F19" s="41" t="s">
        <v>67</v>
      </c>
      <c r="G19" s="45" t="s">
        <v>19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101"/>
      <c r="V19" s="101"/>
      <c r="W19" s="88"/>
      <c r="X19" s="88"/>
      <c r="Y19" s="88"/>
      <c r="Z19" s="88"/>
      <c r="AA19" s="88"/>
      <c r="AB19" s="88"/>
      <c r="AC19" s="88"/>
      <c r="AD19" s="88"/>
      <c r="AE19" s="88"/>
      <c r="AF19" s="88"/>
    </row>
    <row r="20" ht="16.5" customHeight="1">
      <c r="A20" s="7" t="s">
        <v>81</v>
      </c>
      <c r="B20" s="8" t="s">
        <v>82</v>
      </c>
      <c r="C20" s="7" t="s">
        <v>56</v>
      </c>
      <c r="D20" s="7" t="s">
        <v>57</v>
      </c>
      <c r="E20" s="7">
        <v>4.0</v>
      </c>
      <c r="F20" s="41" t="s">
        <v>67</v>
      </c>
      <c r="G20" s="17" t="s">
        <v>19</v>
      </c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101"/>
      <c r="S20" s="101"/>
      <c r="T20" s="101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</row>
    <row r="21" ht="16.5" customHeight="1">
      <c r="A21" s="14" t="s">
        <v>85</v>
      </c>
      <c r="B21" s="15" t="s">
        <v>86</v>
      </c>
      <c r="C21" s="14" t="s">
        <v>56</v>
      </c>
      <c r="D21" s="14" t="s">
        <v>57</v>
      </c>
      <c r="E21" s="14">
        <v>5.0</v>
      </c>
      <c r="F21" s="41" t="s">
        <v>67</v>
      </c>
      <c r="G21" s="17" t="s">
        <v>19</v>
      </c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101"/>
      <c r="T21" s="101"/>
      <c r="U21" s="101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</row>
    <row r="22" ht="13.5" customHeight="1">
      <c r="A22" s="104" t="s">
        <v>155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3"/>
    </row>
    <row r="23" ht="16.5" customHeight="1">
      <c r="A23" s="14" t="s">
        <v>90</v>
      </c>
      <c r="B23" s="15" t="s">
        <v>91</v>
      </c>
      <c r="C23" s="14" t="s">
        <v>56</v>
      </c>
      <c r="D23" s="14" t="s">
        <v>74</v>
      </c>
      <c r="E23" s="14">
        <v>8.0</v>
      </c>
      <c r="F23" s="52" t="s">
        <v>92</v>
      </c>
      <c r="G23" s="17" t="s">
        <v>19</v>
      </c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102"/>
      <c r="X23" s="102"/>
      <c r="Y23" s="102"/>
      <c r="Z23" s="88"/>
      <c r="AA23" s="88"/>
      <c r="AB23" s="88"/>
      <c r="AC23" s="88"/>
      <c r="AD23" s="88"/>
      <c r="AE23" s="88"/>
      <c r="AF23" s="88"/>
    </row>
    <row r="24" ht="16.5" customHeight="1">
      <c r="A24" s="7" t="s">
        <v>95</v>
      </c>
      <c r="B24" s="8" t="s">
        <v>96</v>
      </c>
      <c r="C24" s="7" t="s">
        <v>56</v>
      </c>
      <c r="D24" s="7" t="s">
        <v>30</v>
      </c>
      <c r="E24" s="7">
        <v>12.0</v>
      </c>
      <c r="F24" s="52" t="s">
        <v>92</v>
      </c>
      <c r="G24" s="17" t="s">
        <v>19</v>
      </c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102"/>
      <c r="Y24" s="102"/>
      <c r="Z24" s="102"/>
      <c r="AA24" s="102"/>
      <c r="AB24" s="87"/>
      <c r="AC24" s="87"/>
      <c r="AD24" s="87"/>
      <c r="AE24" s="87"/>
      <c r="AF24" s="87"/>
    </row>
    <row r="25" ht="16.5" customHeight="1">
      <c r="A25" s="14" t="s">
        <v>102</v>
      </c>
      <c r="B25" s="15" t="s">
        <v>103</v>
      </c>
      <c r="C25" s="14" t="s">
        <v>104</v>
      </c>
      <c r="D25" s="14" t="s">
        <v>51</v>
      </c>
      <c r="E25" s="14">
        <v>7.0</v>
      </c>
      <c r="F25" s="52" t="s">
        <v>92</v>
      </c>
      <c r="G25" s="17" t="s">
        <v>19</v>
      </c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102"/>
      <c r="Z25" s="102"/>
      <c r="AA25" s="102"/>
      <c r="AB25" s="88"/>
      <c r="AC25" s="88"/>
      <c r="AD25" s="88"/>
      <c r="AE25" s="88"/>
      <c r="AF25" s="88"/>
    </row>
    <row r="26" ht="16.5" customHeight="1">
      <c r="A26" s="91" t="s">
        <v>99</v>
      </c>
      <c r="B26" s="92" t="s">
        <v>100</v>
      </c>
      <c r="C26" s="12" t="s">
        <v>66</v>
      </c>
      <c r="D26" s="7" t="s">
        <v>51</v>
      </c>
      <c r="E26" s="105">
        <v>5.0</v>
      </c>
      <c r="F26" s="52" t="s">
        <v>92</v>
      </c>
      <c r="G26" s="14" t="s">
        <v>68</v>
      </c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7"/>
      <c r="Z26" s="108"/>
      <c r="AA26" s="108"/>
      <c r="AB26" s="106"/>
      <c r="AC26" s="106"/>
      <c r="AD26" s="106"/>
      <c r="AE26" s="106"/>
      <c r="AF26" s="106"/>
    </row>
    <row r="27" ht="13.5" customHeight="1">
      <c r="A27" s="109" t="s">
        <v>156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3"/>
    </row>
    <row r="28" ht="16.5" customHeight="1">
      <c r="A28" s="14" t="s">
        <v>109</v>
      </c>
      <c r="B28" s="15" t="s">
        <v>110</v>
      </c>
      <c r="C28" s="14" t="s">
        <v>111</v>
      </c>
      <c r="D28" s="14" t="s">
        <v>113</v>
      </c>
      <c r="E28" s="14">
        <v>7.0</v>
      </c>
      <c r="F28" s="60" t="s">
        <v>112</v>
      </c>
      <c r="G28" s="14" t="s">
        <v>68</v>
      </c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103"/>
      <c r="AC28" s="103"/>
      <c r="AD28" s="103"/>
      <c r="AE28" s="88"/>
      <c r="AF28" s="88"/>
    </row>
    <row r="29" ht="16.5" customHeight="1">
      <c r="A29" s="31" t="s">
        <v>115</v>
      </c>
      <c r="B29" s="61" t="s">
        <v>116</v>
      </c>
      <c r="C29" s="42" t="s">
        <v>104</v>
      </c>
      <c r="D29" s="42" t="s">
        <v>51</v>
      </c>
      <c r="E29" s="42">
        <v>8.0</v>
      </c>
      <c r="F29" s="60" t="s">
        <v>112</v>
      </c>
      <c r="G29" s="42" t="s">
        <v>68</v>
      </c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103"/>
      <c r="AD29" s="103"/>
      <c r="AE29" s="103"/>
      <c r="AF29" s="103"/>
    </row>
    <row r="30" ht="16.5" customHeight="1">
      <c r="A30" s="14" t="s">
        <v>118</v>
      </c>
      <c r="B30" s="15" t="s">
        <v>119</v>
      </c>
      <c r="C30" s="14" t="s">
        <v>120</v>
      </c>
      <c r="D30" s="14" t="s">
        <v>69</v>
      </c>
      <c r="E30" s="14">
        <v>6.0</v>
      </c>
      <c r="F30" s="60" t="s">
        <v>112</v>
      </c>
      <c r="G30" s="14" t="s">
        <v>68</v>
      </c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103"/>
      <c r="AC30" s="103"/>
      <c r="AD30" s="103"/>
      <c r="AE30" s="88"/>
      <c r="AF30" s="88"/>
    </row>
    <row r="31" ht="16.5" customHeight="1">
      <c r="A31" s="7" t="s">
        <v>123</v>
      </c>
      <c r="B31" s="8" t="s">
        <v>124</v>
      </c>
      <c r="C31" s="7" t="s">
        <v>120</v>
      </c>
      <c r="D31" s="7" t="s">
        <v>69</v>
      </c>
      <c r="E31" s="7">
        <v>6.0</v>
      </c>
      <c r="F31" s="60" t="s">
        <v>112</v>
      </c>
      <c r="G31" s="7" t="s">
        <v>68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103"/>
      <c r="AE31" s="103"/>
      <c r="AF31" s="87"/>
    </row>
    <row r="32" ht="16.5" customHeight="1">
      <c r="A32" s="14" t="s">
        <v>126</v>
      </c>
      <c r="B32" s="15" t="s">
        <v>127</v>
      </c>
      <c r="C32" s="14" t="s">
        <v>128</v>
      </c>
      <c r="D32" s="14" t="s">
        <v>129</v>
      </c>
      <c r="E32" s="14">
        <v>6.0</v>
      </c>
      <c r="F32" s="60" t="s">
        <v>112</v>
      </c>
      <c r="G32" s="14" t="s">
        <v>68</v>
      </c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103"/>
      <c r="AF32" s="103"/>
    </row>
    <row r="33" ht="13.5" customHeight="1">
      <c r="A33" s="110" t="s">
        <v>157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3"/>
    </row>
    <row r="34" ht="16.5" customHeight="1">
      <c r="A34" s="67" t="s">
        <v>133</v>
      </c>
      <c r="B34" s="68" t="s">
        <v>134</v>
      </c>
      <c r="C34" s="67" t="s">
        <v>135</v>
      </c>
      <c r="D34" s="67" t="s">
        <v>69</v>
      </c>
      <c r="E34" s="67" t="s">
        <v>137</v>
      </c>
      <c r="F34" s="67" t="s">
        <v>136</v>
      </c>
      <c r="G34" s="67" t="s">
        <v>137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</row>
    <row r="35" ht="16.5" customHeight="1">
      <c r="A35" s="67" t="s">
        <v>140</v>
      </c>
      <c r="B35" s="68" t="s">
        <v>141</v>
      </c>
      <c r="C35" s="67" t="s">
        <v>135</v>
      </c>
      <c r="D35" s="67" t="s">
        <v>69</v>
      </c>
      <c r="E35" s="67" t="s">
        <v>137</v>
      </c>
      <c r="F35" s="67" t="s">
        <v>136</v>
      </c>
      <c r="G35" s="67" t="s">
        <v>137</v>
      </c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3">
    <mergeCell ref="A5:AF5"/>
    <mergeCell ref="A10:AF10"/>
    <mergeCell ref="A16:AF16"/>
    <mergeCell ref="A22:AF22"/>
    <mergeCell ref="A27:AF27"/>
    <mergeCell ref="A33:AF33"/>
    <mergeCell ref="A1:AF1"/>
    <mergeCell ref="A2:AF2"/>
    <mergeCell ref="H3:L3"/>
    <mergeCell ref="M3:Q3"/>
    <mergeCell ref="R3:V3"/>
    <mergeCell ref="W3:AA3"/>
    <mergeCell ref="AB3:AF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26.0"/>
    <col customWidth="1" min="3" max="4" width="14.0"/>
    <col customWidth="1" min="5" max="5" width="10.0"/>
    <col customWidth="1" min="6" max="6" width="14.0"/>
    <col customWidth="1" min="7" max="7" width="32.0"/>
    <col customWidth="1" min="8" max="8" width="42.0"/>
    <col customWidth="1" min="9" max="9" width="10.0"/>
    <col customWidth="1" min="10" max="26" width="8.71"/>
  </cols>
  <sheetData>
    <row r="1" ht="31.5" customHeight="1">
      <c r="A1" s="112" t="s">
        <v>158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113" t="s">
        <v>159</v>
      </c>
      <c r="B2" s="2"/>
      <c r="C2" s="2"/>
      <c r="D2" s="2"/>
      <c r="E2" s="2"/>
      <c r="F2" s="2"/>
      <c r="G2" s="2"/>
      <c r="H2" s="2"/>
      <c r="I2" s="3"/>
    </row>
    <row r="3" ht="19.5" customHeight="1">
      <c r="A3" s="5" t="s">
        <v>160</v>
      </c>
      <c r="B3" s="5" t="s">
        <v>161</v>
      </c>
      <c r="C3" s="5" t="s">
        <v>2</v>
      </c>
      <c r="D3" s="5" t="s">
        <v>162</v>
      </c>
      <c r="E3" s="5" t="s">
        <v>7</v>
      </c>
      <c r="F3" s="5" t="s">
        <v>9</v>
      </c>
      <c r="G3" s="5" t="s">
        <v>163</v>
      </c>
      <c r="H3" s="5" t="s">
        <v>11</v>
      </c>
      <c r="I3" s="5" t="s">
        <v>8</v>
      </c>
    </row>
    <row r="4" ht="16.5" customHeight="1">
      <c r="A4" s="114" t="s">
        <v>164</v>
      </c>
      <c r="B4" s="2"/>
      <c r="C4" s="2"/>
      <c r="D4" s="2"/>
      <c r="E4" s="2"/>
      <c r="F4" s="2"/>
      <c r="G4" s="2"/>
      <c r="H4" s="2"/>
      <c r="I4" s="3"/>
    </row>
    <row r="5" ht="30.0" customHeight="1">
      <c r="A5" s="7" t="s">
        <v>165</v>
      </c>
      <c r="B5" s="8" t="s">
        <v>166</v>
      </c>
      <c r="C5" s="7" t="s">
        <v>59</v>
      </c>
      <c r="D5" s="7" t="s">
        <v>167</v>
      </c>
      <c r="E5" s="7" t="s">
        <v>41</v>
      </c>
      <c r="F5" s="8" t="s">
        <v>74</v>
      </c>
      <c r="G5" s="13" t="s">
        <v>168</v>
      </c>
      <c r="H5" s="13" t="s">
        <v>169</v>
      </c>
      <c r="I5" s="24" t="s">
        <v>170</v>
      </c>
    </row>
    <row r="6" ht="30.0" customHeight="1">
      <c r="A6" s="14" t="s">
        <v>171</v>
      </c>
      <c r="B6" s="15" t="s">
        <v>172</v>
      </c>
      <c r="C6" s="14" t="s">
        <v>59</v>
      </c>
      <c r="D6" s="14" t="s">
        <v>167</v>
      </c>
      <c r="E6" s="14" t="s">
        <v>41</v>
      </c>
      <c r="F6" s="15" t="s">
        <v>74</v>
      </c>
      <c r="G6" s="18" t="s">
        <v>138</v>
      </c>
      <c r="H6" s="18" t="s">
        <v>173</v>
      </c>
      <c r="I6" s="24" t="s">
        <v>170</v>
      </c>
    </row>
    <row r="7" ht="30.0" customHeight="1">
      <c r="A7" s="7" t="s">
        <v>174</v>
      </c>
      <c r="B7" s="8" t="s">
        <v>175</v>
      </c>
      <c r="C7" s="7" t="s">
        <v>72</v>
      </c>
      <c r="D7" s="7" t="s">
        <v>167</v>
      </c>
      <c r="E7" s="7" t="s">
        <v>67</v>
      </c>
      <c r="F7" s="8" t="s">
        <v>74</v>
      </c>
      <c r="G7" s="13" t="s">
        <v>176</v>
      </c>
      <c r="H7" s="13" t="s">
        <v>177</v>
      </c>
      <c r="I7" s="24" t="s">
        <v>170</v>
      </c>
    </row>
    <row r="8" ht="30.0" customHeight="1">
      <c r="A8" s="42" t="s">
        <v>178</v>
      </c>
      <c r="B8" s="43" t="s">
        <v>78</v>
      </c>
      <c r="C8" s="42" t="s">
        <v>77</v>
      </c>
      <c r="D8" s="42" t="s">
        <v>167</v>
      </c>
      <c r="E8" s="42" t="s">
        <v>67</v>
      </c>
      <c r="F8" s="43" t="s">
        <v>74</v>
      </c>
      <c r="G8" s="46" t="s">
        <v>176</v>
      </c>
      <c r="H8" s="46" t="s">
        <v>179</v>
      </c>
      <c r="I8" s="31" t="s">
        <v>53</v>
      </c>
    </row>
    <row r="9" ht="30.0" customHeight="1">
      <c r="A9" s="7" t="s">
        <v>180</v>
      </c>
      <c r="B9" s="8" t="s">
        <v>181</v>
      </c>
      <c r="C9" s="7" t="s">
        <v>109</v>
      </c>
      <c r="D9" s="7" t="s">
        <v>167</v>
      </c>
      <c r="E9" s="7" t="s">
        <v>112</v>
      </c>
      <c r="F9" s="8" t="s">
        <v>113</v>
      </c>
      <c r="G9" s="13" t="s">
        <v>182</v>
      </c>
      <c r="H9" s="13" t="s">
        <v>183</v>
      </c>
      <c r="I9" s="24" t="s">
        <v>170</v>
      </c>
    </row>
    <row r="10" ht="30.0" customHeight="1">
      <c r="A10" s="14" t="s">
        <v>184</v>
      </c>
      <c r="B10" s="15" t="s">
        <v>185</v>
      </c>
      <c r="C10" s="14" t="s">
        <v>109</v>
      </c>
      <c r="D10" s="14" t="s">
        <v>167</v>
      </c>
      <c r="E10" s="14" t="s">
        <v>112</v>
      </c>
      <c r="F10" s="15" t="s">
        <v>113</v>
      </c>
      <c r="G10" s="18" t="s">
        <v>182</v>
      </c>
      <c r="H10" s="18" t="s">
        <v>186</v>
      </c>
      <c r="I10" s="24" t="s">
        <v>170</v>
      </c>
    </row>
    <row r="11" ht="30.0" customHeight="1">
      <c r="A11" s="7" t="s">
        <v>187</v>
      </c>
      <c r="B11" s="8" t="s">
        <v>188</v>
      </c>
      <c r="C11" s="7" t="s">
        <v>81</v>
      </c>
      <c r="D11" s="7" t="s">
        <v>167</v>
      </c>
      <c r="E11" s="7" t="s">
        <v>67</v>
      </c>
      <c r="F11" s="8" t="s">
        <v>57</v>
      </c>
      <c r="G11" s="13" t="s">
        <v>138</v>
      </c>
      <c r="H11" s="13" t="s">
        <v>189</v>
      </c>
      <c r="I11" s="24" t="s">
        <v>170</v>
      </c>
    </row>
    <row r="12" ht="30.0" customHeight="1">
      <c r="A12" s="14" t="s">
        <v>190</v>
      </c>
      <c r="B12" s="15" t="s">
        <v>191</v>
      </c>
      <c r="C12" s="14" t="s">
        <v>81</v>
      </c>
      <c r="D12" s="14" t="s">
        <v>167</v>
      </c>
      <c r="E12" s="14" t="s">
        <v>67</v>
      </c>
      <c r="F12" s="15" t="s">
        <v>57</v>
      </c>
      <c r="G12" s="18" t="s">
        <v>138</v>
      </c>
      <c r="H12" s="18" t="s">
        <v>192</v>
      </c>
      <c r="I12" s="24" t="s">
        <v>170</v>
      </c>
    </row>
    <row r="14" ht="16.5" customHeight="1">
      <c r="A14" s="115" t="s">
        <v>193</v>
      </c>
      <c r="B14" s="2"/>
      <c r="C14" s="2"/>
      <c r="D14" s="2"/>
      <c r="E14" s="2"/>
      <c r="F14" s="2"/>
      <c r="G14" s="2"/>
      <c r="H14" s="2"/>
      <c r="I14" s="3"/>
    </row>
    <row r="15" ht="30.0" customHeight="1">
      <c r="A15" s="7" t="s">
        <v>194</v>
      </c>
      <c r="B15" s="8" t="s">
        <v>195</v>
      </c>
      <c r="C15" s="7" t="s">
        <v>95</v>
      </c>
      <c r="D15" s="7" t="s">
        <v>196</v>
      </c>
      <c r="E15" s="7" t="s">
        <v>92</v>
      </c>
      <c r="F15" s="8" t="s">
        <v>30</v>
      </c>
      <c r="G15" s="13" t="s">
        <v>138</v>
      </c>
      <c r="H15" s="13" t="s">
        <v>197</v>
      </c>
      <c r="I15" s="24" t="s">
        <v>170</v>
      </c>
    </row>
    <row r="16" ht="30.0" customHeight="1">
      <c r="A16" s="14" t="s">
        <v>198</v>
      </c>
      <c r="B16" s="15" t="s">
        <v>199</v>
      </c>
      <c r="C16" s="14" t="s">
        <v>90</v>
      </c>
      <c r="D16" s="14" t="s">
        <v>196</v>
      </c>
      <c r="E16" s="14" t="s">
        <v>92</v>
      </c>
      <c r="F16" s="15" t="s">
        <v>74</v>
      </c>
      <c r="G16" s="18" t="s">
        <v>200</v>
      </c>
      <c r="H16" s="18" t="s">
        <v>201</v>
      </c>
      <c r="I16" s="24" t="s">
        <v>170</v>
      </c>
    </row>
    <row r="17" ht="30.0" customHeight="1">
      <c r="A17" s="7" t="s">
        <v>202</v>
      </c>
      <c r="B17" s="8" t="s">
        <v>203</v>
      </c>
      <c r="C17" s="7" t="s">
        <v>72</v>
      </c>
      <c r="D17" s="7" t="s">
        <v>196</v>
      </c>
      <c r="E17" s="7" t="s">
        <v>67</v>
      </c>
      <c r="F17" s="8" t="s">
        <v>74</v>
      </c>
      <c r="G17" s="13" t="s">
        <v>204</v>
      </c>
      <c r="H17" s="13" t="s">
        <v>205</v>
      </c>
      <c r="I17" s="24" t="s">
        <v>170</v>
      </c>
    </row>
    <row r="18" ht="30.0" customHeight="1">
      <c r="A18" s="14" t="s">
        <v>206</v>
      </c>
      <c r="B18" s="15" t="s">
        <v>207</v>
      </c>
      <c r="C18" s="14" t="s">
        <v>85</v>
      </c>
      <c r="D18" s="14" t="s">
        <v>196</v>
      </c>
      <c r="E18" s="14" t="s">
        <v>67</v>
      </c>
      <c r="F18" s="15" t="s">
        <v>57</v>
      </c>
      <c r="G18" s="18" t="s">
        <v>138</v>
      </c>
      <c r="H18" s="18" t="s">
        <v>208</v>
      </c>
      <c r="I18" s="24" t="s">
        <v>170</v>
      </c>
    </row>
    <row r="20" ht="16.5" customHeight="1">
      <c r="A20" s="40" t="s">
        <v>209</v>
      </c>
      <c r="B20" s="2"/>
      <c r="C20" s="2"/>
      <c r="D20" s="2"/>
      <c r="E20" s="2"/>
      <c r="F20" s="2"/>
      <c r="G20" s="2"/>
      <c r="H20" s="2"/>
      <c r="I20" s="3"/>
    </row>
    <row r="21" ht="30.0" customHeight="1">
      <c r="A21" s="7" t="s">
        <v>210</v>
      </c>
      <c r="B21" s="8" t="s">
        <v>103</v>
      </c>
      <c r="C21" s="7" t="s">
        <v>102</v>
      </c>
      <c r="D21" s="7" t="s">
        <v>211</v>
      </c>
      <c r="E21" s="7" t="s">
        <v>92</v>
      </c>
      <c r="F21" s="8" t="s">
        <v>51</v>
      </c>
      <c r="G21" s="13" t="s">
        <v>212</v>
      </c>
      <c r="H21" s="13" t="s">
        <v>213</v>
      </c>
      <c r="I21" s="24" t="s">
        <v>170</v>
      </c>
    </row>
    <row r="22" ht="30.0" customHeight="1">
      <c r="A22" s="42" t="s">
        <v>214</v>
      </c>
      <c r="B22" s="43" t="s">
        <v>215</v>
      </c>
      <c r="C22" s="42" t="s">
        <v>115</v>
      </c>
      <c r="D22" s="42" t="s">
        <v>211</v>
      </c>
      <c r="E22" s="42" t="s">
        <v>112</v>
      </c>
      <c r="F22" s="43" t="s">
        <v>51</v>
      </c>
      <c r="G22" s="46" t="s">
        <v>216</v>
      </c>
      <c r="H22" s="46" t="s">
        <v>217</v>
      </c>
      <c r="I22" s="116" t="s">
        <v>218</v>
      </c>
    </row>
    <row r="23" ht="30.0" customHeight="1">
      <c r="A23" s="7" t="s">
        <v>219</v>
      </c>
      <c r="B23" s="8" t="s">
        <v>220</v>
      </c>
      <c r="C23" s="7" t="s">
        <v>109</v>
      </c>
      <c r="D23" s="7" t="s">
        <v>211</v>
      </c>
      <c r="E23" s="7" t="s">
        <v>112</v>
      </c>
      <c r="F23" s="8" t="s">
        <v>113</v>
      </c>
      <c r="G23" s="13" t="s">
        <v>221</v>
      </c>
      <c r="H23" s="13" t="s">
        <v>222</v>
      </c>
      <c r="I23" s="24" t="s">
        <v>170</v>
      </c>
    </row>
    <row r="24" ht="15.75" customHeight="1"/>
    <row r="25" ht="16.5" customHeight="1">
      <c r="A25" s="66" t="s">
        <v>223</v>
      </c>
      <c r="B25" s="2"/>
      <c r="C25" s="2"/>
      <c r="D25" s="2"/>
      <c r="E25" s="2"/>
      <c r="F25" s="2"/>
      <c r="G25" s="2"/>
      <c r="H25" s="2"/>
      <c r="I25" s="3"/>
    </row>
    <row r="26" ht="16.5" customHeight="1">
      <c r="A26" s="117" t="s">
        <v>224</v>
      </c>
      <c r="B26" s="117" t="s">
        <v>3</v>
      </c>
      <c r="C26" s="117"/>
      <c r="D26" s="117"/>
      <c r="E26" s="117"/>
      <c r="F26" s="117"/>
      <c r="G26" s="117"/>
      <c r="H26" s="117" t="s">
        <v>225</v>
      </c>
      <c r="I26" s="117"/>
    </row>
    <row r="27" ht="19.5" customHeight="1">
      <c r="A27" s="118" t="s">
        <v>226</v>
      </c>
      <c r="B27" s="119" t="s">
        <v>203</v>
      </c>
      <c r="C27" s="120"/>
      <c r="D27" s="120"/>
      <c r="E27" s="120"/>
      <c r="F27" s="120"/>
      <c r="G27" s="121"/>
      <c r="H27" s="119" t="s">
        <v>227</v>
      </c>
      <c r="I27" s="121"/>
    </row>
    <row r="28" ht="19.5" customHeight="1">
      <c r="A28" s="118" t="s">
        <v>228</v>
      </c>
      <c r="B28" s="122" t="s">
        <v>229</v>
      </c>
      <c r="C28" s="120"/>
      <c r="D28" s="120"/>
      <c r="E28" s="120"/>
      <c r="F28" s="120"/>
      <c r="G28" s="121"/>
      <c r="H28" s="122" t="s">
        <v>230</v>
      </c>
      <c r="I28" s="121"/>
    </row>
    <row r="29" ht="19.5" customHeight="1">
      <c r="A29" s="118" t="s">
        <v>231</v>
      </c>
      <c r="B29" s="119" t="s">
        <v>232</v>
      </c>
      <c r="C29" s="120"/>
      <c r="D29" s="120"/>
      <c r="E29" s="120"/>
      <c r="F29" s="120"/>
      <c r="G29" s="121"/>
      <c r="H29" s="119" t="s">
        <v>233</v>
      </c>
      <c r="I29" s="121"/>
    </row>
    <row r="30" ht="19.5" customHeight="1">
      <c r="A30" s="118" t="s">
        <v>234</v>
      </c>
      <c r="B30" s="122" t="s">
        <v>86</v>
      </c>
      <c r="C30" s="120"/>
      <c r="D30" s="120"/>
      <c r="E30" s="120"/>
      <c r="F30" s="120"/>
      <c r="G30" s="121"/>
      <c r="H30" s="122" t="s">
        <v>235</v>
      </c>
      <c r="I30" s="121"/>
    </row>
    <row r="31" ht="19.5" customHeight="1">
      <c r="A31" s="118" t="s">
        <v>236</v>
      </c>
      <c r="B31" s="119" t="s">
        <v>237</v>
      </c>
      <c r="C31" s="120"/>
      <c r="D31" s="120"/>
      <c r="E31" s="120"/>
      <c r="F31" s="120"/>
      <c r="G31" s="121"/>
      <c r="H31" s="119" t="s">
        <v>238</v>
      </c>
      <c r="I31" s="121"/>
    </row>
    <row r="32" ht="19.5" customHeight="1">
      <c r="A32" s="118" t="s">
        <v>239</v>
      </c>
      <c r="B32" s="122" t="s">
        <v>78</v>
      </c>
      <c r="C32" s="120"/>
      <c r="D32" s="120"/>
      <c r="E32" s="120"/>
      <c r="F32" s="120"/>
      <c r="G32" s="121"/>
      <c r="H32" s="122" t="s">
        <v>240</v>
      </c>
      <c r="I32" s="121"/>
    </row>
    <row r="33" ht="15.75" customHeight="1"/>
    <row r="34" ht="16.5" customHeight="1">
      <c r="A34" s="6" t="s">
        <v>241</v>
      </c>
      <c r="B34" s="2"/>
      <c r="C34" s="2"/>
      <c r="D34" s="2"/>
      <c r="E34" s="2"/>
      <c r="F34" s="2"/>
      <c r="G34" s="2"/>
      <c r="H34" s="2"/>
      <c r="I34" s="3"/>
    </row>
    <row r="35" ht="16.5" customHeight="1">
      <c r="A35" s="5" t="s">
        <v>242</v>
      </c>
      <c r="B35" s="5" t="s">
        <v>243</v>
      </c>
      <c r="C35" s="5"/>
      <c r="D35" s="5"/>
      <c r="E35" s="5"/>
      <c r="F35" s="5"/>
      <c r="G35" s="5"/>
      <c r="H35" s="5" t="s">
        <v>244</v>
      </c>
      <c r="I35" s="5"/>
    </row>
    <row r="36" ht="21.75" customHeight="1">
      <c r="A36" s="123" t="s">
        <v>245</v>
      </c>
      <c r="B36" s="124" t="s">
        <v>246</v>
      </c>
      <c r="C36" s="120"/>
      <c r="D36" s="120"/>
      <c r="E36" s="120"/>
      <c r="F36" s="120"/>
      <c r="G36" s="121"/>
      <c r="H36" s="125" t="s">
        <v>247</v>
      </c>
      <c r="I36" s="121"/>
    </row>
    <row r="37" ht="21.75" customHeight="1">
      <c r="A37" s="123" t="s">
        <v>248</v>
      </c>
      <c r="B37" s="126" t="s">
        <v>249</v>
      </c>
      <c r="C37" s="120"/>
      <c r="D37" s="120"/>
      <c r="E37" s="120"/>
      <c r="F37" s="120"/>
      <c r="G37" s="121"/>
      <c r="H37" s="127" t="s">
        <v>250</v>
      </c>
      <c r="I37" s="121"/>
    </row>
    <row r="38" ht="21.75" customHeight="1">
      <c r="A38" s="123" t="s">
        <v>251</v>
      </c>
      <c r="B38" s="124" t="s">
        <v>252</v>
      </c>
      <c r="C38" s="120"/>
      <c r="D38" s="120"/>
      <c r="E38" s="120"/>
      <c r="F38" s="120"/>
      <c r="G38" s="121"/>
      <c r="H38" s="125" t="s">
        <v>253</v>
      </c>
      <c r="I38" s="121"/>
    </row>
    <row r="39" ht="21.75" customHeight="1">
      <c r="A39" s="123" t="s">
        <v>254</v>
      </c>
      <c r="B39" s="126" t="s">
        <v>255</v>
      </c>
      <c r="C39" s="120"/>
      <c r="D39" s="120"/>
      <c r="E39" s="120"/>
      <c r="F39" s="120"/>
      <c r="G39" s="121"/>
      <c r="H39" s="127" t="s">
        <v>256</v>
      </c>
      <c r="I39" s="121"/>
    </row>
    <row r="40" ht="21.75" customHeight="1">
      <c r="A40" s="123" t="s">
        <v>182</v>
      </c>
      <c r="B40" s="124" t="s">
        <v>257</v>
      </c>
      <c r="C40" s="120"/>
      <c r="D40" s="120"/>
      <c r="E40" s="120"/>
      <c r="F40" s="120"/>
      <c r="G40" s="121"/>
      <c r="H40" s="125" t="s">
        <v>258</v>
      </c>
      <c r="I40" s="12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I1"/>
    <mergeCell ref="A2:I2"/>
    <mergeCell ref="A4:I4"/>
    <mergeCell ref="A14:I14"/>
    <mergeCell ref="A20:I20"/>
    <mergeCell ref="A25:I25"/>
    <mergeCell ref="H27:I27"/>
    <mergeCell ref="B27:G27"/>
    <mergeCell ref="B28:G28"/>
    <mergeCell ref="H28:I28"/>
    <mergeCell ref="B29:G29"/>
    <mergeCell ref="H29:I29"/>
    <mergeCell ref="B30:G30"/>
    <mergeCell ref="H30:I30"/>
    <mergeCell ref="B37:G37"/>
    <mergeCell ref="H37:I37"/>
    <mergeCell ref="B38:G38"/>
    <mergeCell ref="H38:I38"/>
    <mergeCell ref="B39:G39"/>
    <mergeCell ref="H39:I39"/>
    <mergeCell ref="B40:G40"/>
    <mergeCell ref="H40:I40"/>
    <mergeCell ref="B31:G31"/>
    <mergeCell ref="H31:I31"/>
    <mergeCell ref="B32:G32"/>
    <mergeCell ref="H32:I32"/>
    <mergeCell ref="A34:I34"/>
    <mergeCell ref="B36:G36"/>
    <mergeCell ref="H36:I3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770D"/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36.0"/>
    <col customWidth="1" min="3" max="3" width="10.0"/>
    <col customWidth="1" min="4" max="4" width="40.0"/>
    <col customWidth="1" min="5" max="5" width="7.0"/>
    <col customWidth="1" min="6" max="6" width="12.0"/>
    <col customWidth="1" min="7" max="7" width="28.0"/>
    <col customWidth="1" min="8" max="26" width="8.71"/>
  </cols>
  <sheetData>
    <row r="1" ht="31.5" customHeight="1">
      <c r="A1" s="112" t="s">
        <v>259</v>
      </c>
      <c r="B1" s="2"/>
      <c r="C1" s="2"/>
      <c r="D1" s="2"/>
      <c r="E1" s="2"/>
      <c r="F1" s="2"/>
      <c r="G1" s="3"/>
    </row>
    <row r="2" ht="18.0" customHeight="1">
      <c r="A2" s="4" t="s">
        <v>260</v>
      </c>
      <c r="B2" s="2"/>
      <c r="C2" s="2"/>
      <c r="D2" s="2"/>
      <c r="E2" s="2"/>
      <c r="F2" s="2"/>
      <c r="G2" s="3"/>
    </row>
    <row r="3" ht="21.75" customHeight="1">
      <c r="A3" s="5" t="s">
        <v>7</v>
      </c>
      <c r="B3" s="5" t="s">
        <v>261</v>
      </c>
      <c r="C3" s="5" t="s">
        <v>262</v>
      </c>
      <c r="D3" s="5" t="s">
        <v>263</v>
      </c>
      <c r="E3" s="5" t="s">
        <v>151</v>
      </c>
      <c r="F3" s="5" t="s">
        <v>264</v>
      </c>
      <c r="G3" s="5" t="s">
        <v>265</v>
      </c>
    </row>
    <row r="4" ht="36.0" customHeight="1">
      <c r="A4" s="128" t="s">
        <v>18</v>
      </c>
      <c r="B4" s="129" t="s">
        <v>266</v>
      </c>
      <c r="C4" s="129" t="s">
        <v>267</v>
      </c>
      <c r="D4" s="130" t="s">
        <v>268</v>
      </c>
      <c r="E4" s="129">
        <v>28.0</v>
      </c>
      <c r="F4" s="131">
        <f t="shared" ref="F4:F8" si="1">E4/143</f>
        <v>0.1958041958</v>
      </c>
      <c r="G4" s="129" t="s">
        <v>269</v>
      </c>
    </row>
    <row r="5" ht="36.0" customHeight="1">
      <c r="A5" s="132" t="s">
        <v>41</v>
      </c>
      <c r="B5" s="133" t="s">
        <v>270</v>
      </c>
      <c r="C5" s="133" t="s">
        <v>271</v>
      </c>
      <c r="D5" s="134" t="s">
        <v>272</v>
      </c>
      <c r="E5" s="135">
        <v>34.0</v>
      </c>
      <c r="F5" s="136">
        <f t="shared" si="1"/>
        <v>0.2377622378</v>
      </c>
      <c r="G5" s="135" t="s">
        <v>273</v>
      </c>
    </row>
    <row r="6" ht="36.0" customHeight="1">
      <c r="A6" s="137" t="s">
        <v>67</v>
      </c>
      <c r="B6" s="129" t="s">
        <v>274</v>
      </c>
      <c r="C6" s="129" t="s">
        <v>275</v>
      </c>
      <c r="D6" s="130" t="s">
        <v>276</v>
      </c>
      <c r="E6" s="129">
        <v>31.0</v>
      </c>
      <c r="F6" s="131">
        <f t="shared" si="1"/>
        <v>0.2167832168</v>
      </c>
      <c r="G6" s="129" t="s">
        <v>277</v>
      </c>
    </row>
    <row r="7" ht="36.0" customHeight="1">
      <c r="A7" s="138" t="s">
        <v>92</v>
      </c>
      <c r="B7" s="133" t="s">
        <v>278</v>
      </c>
      <c r="C7" s="133" t="s">
        <v>279</v>
      </c>
      <c r="D7" s="134" t="s">
        <v>280</v>
      </c>
      <c r="E7" s="135">
        <v>32.0</v>
      </c>
      <c r="F7" s="136">
        <f t="shared" si="1"/>
        <v>0.2237762238</v>
      </c>
      <c r="G7" s="133" t="s">
        <v>281</v>
      </c>
    </row>
    <row r="8" ht="36.0" customHeight="1">
      <c r="A8" s="139" t="s">
        <v>112</v>
      </c>
      <c r="B8" s="129" t="s">
        <v>282</v>
      </c>
      <c r="C8" s="129" t="s">
        <v>283</v>
      </c>
      <c r="D8" s="130" t="s">
        <v>284</v>
      </c>
      <c r="E8" s="140">
        <v>33.0</v>
      </c>
      <c r="F8" s="131">
        <f t="shared" si="1"/>
        <v>0.2307692308</v>
      </c>
      <c r="G8" s="129" t="s">
        <v>277</v>
      </c>
    </row>
    <row r="9" ht="21.75" customHeight="1">
      <c r="A9" s="73" t="s">
        <v>285</v>
      </c>
      <c r="B9" s="2"/>
      <c r="C9" s="2"/>
      <c r="D9" s="3"/>
      <c r="E9" s="74">
        <v>158.0</v>
      </c>
      <c r="F9" s="141">
        <v>1.0</v>
      </c>
      <c r="G9" s="22"/>
    </row>
    <row r="10" ht="31.5" customHeight="1">
      <c r="A10" s="142" t="s">
        <v>286</v>
      </c>
      <c r="B10" s="120"/>
      <c r="C10" s="120"/>
      <c r="D10" s="120"/>
      <c r="E10" s="120"/>
      <c r="F10" s="120"/>
      <c r="G10" s="121"/>
    </row>
    <row r="11" ht="31.5" customHeight="1">
      <c r="A11" s="143" t="s">
        <v>287</v>
      </c>
      <c r="B11" s="120"/>
      <c r="C11" s="120"/>
      <c r="D11" s="120"/>
      <c r="E11" s="120"/>
      <c r="F11" s="120"/>
      <c r="G11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A9:D9"/>
    <mergeCell ref="A10:G10"/>
    <mergeCell ref="A11:G11"/>
  </mergeCells>
  <printOptions/>
  <pageMargins bottom="1.0" footer="0.0" header="0.0" left="0.75" right="0.75" top="1.0"/>
  <pageSetup orientation="landscape"/>
  <drawing r:id="rId1"/>
</worksheet>
</file>