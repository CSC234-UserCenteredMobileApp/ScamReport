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deband Delphi Estimation" sheetId="1" r:id="rId5"/>
  </sheets>
  <definedNames/>
  <calcPr/>
</workbook>
</file>

<file path=xl/sharedStrings.xml><?xml version="1.0" encoding="utf-8"?>
<sst xmlns="http://schemas.openxmlformats.org/spreadsheetml/2006/main" count="113" uniqueCount="76">
  <si>
    <t>SCAM REPORT PLATFORM — Wideband Delphi Estimation</t>
  </si>
  <si>
    <t>WBS ID</t>
  </si>
  <si>
    <t>Work Package</t>
  </si>
  <si>
    <t>Round 1 — Independent Estimation (hrs)</t>
  </si>
  <si>
    <t>Round 2 — Revised Estimation (hrs)</t>
  </si>
  <si>
    <t>Consensus
Hrs</t>
  </si>
  <si>
    <t>Phase</t>
  </si>
  <si>
    <t>Responsible</t>
  </si>
  <si>
    <t>A.P.</t>
  </si>
  <si>
    <t>T.P.</t>
  </si>
  <si>
    <t>S.P.</t>
  </si>
  <si>
    <t>B.S.</t>
  </si>
  <si>
    <t>Y.R.</t>
  </si>
  <si>
    <t>Mean</t>
  </si>
  <si>
    <t>1.1.1</t>
  </si>
  <si>
    <t>Authentication</t>
  </si>
  <si>
    <t>Frontend</t>
  </si>
  <si>
    <t>1.1.2</t>
  </si>
  <si>
    <t>Scam Report Feed</t>
  </si>
  <si>
    <t>1.1.2a</t>
  </si>
  <si>
    <t>Verified Report Detail</t>
  </si>
  <si>
    <t>1.1.3</t>
  </si>
  <si>
    <t>AI-Powered Search UI</t>
  </si>
  <si>
    <t>A.P. / B.S.</t>
  </si>
  <si>
    <t>1.1.4</t>
  </si>
  <si>
    <t>Report Submission Form</t>
  </si>
  <si>
    <t>1.1.5</t>
  </si>
  <si>
    <t>Announcements Feature</t>
  </si>
  <si>
    <t>Frontend/Admin</t>
  </si>
  <si>
    <t>1.1.6</t>
  </si>
  <si>
    <t>Data Privacy &amp; ToS</t>
  </si>
  <si>
    <t>1.1.7</t>
  </si>
  <si>
    <t>Support &amp; Settings</t>
  </si>
  <si>
    <t>1.1.8</t>
  </si>
  <si>
    <t>SMS smishing detectcion</t>
  </si>
  <si>
    <t>Backend</t>
  </si>
  <si>
    <t>Y.R</t>
  </si>
  <si>
    <t>1.1.9</t>
  </si>
  <si>
    <t>Call Screening</t>
  </si>
  <si>
    <t>1.1.10</t>
  </si>
  <si>
    <t>Share-to-app</t>
  </si>
  <si>
    <t>1.2.1</t>
  </si>
  <si>
    <t>Pending Review Queue</t>
  </si>
  <si>
    <t>Admin</t>
  </si>
  <si>
    <t>1.2.2</t>
  </si>
  <si>
    <t>Admin Action UI with AI scoring</t>
  </si>
  <si>
    <t>2.1.1</t>
  </si>
  <si>
    <t>PostgreSQL + pgvector</t>
  </si>
  <si>
    <t>Infrastructure</t>
  </si>
  <si>
    <t>A.P. / T.P.</t>
  </si>
  <si>
    <t>2.1.2</t>
  </si>
  <si>
    <t>Prisma ORM Implementation</t>
  </si>
  <si>
    <t>2.2.1</t>
  </si>
  <si>
    <t>Firebase Auth Integration</t>
  </si>
  <si>
    <t>Auth</t>
  </si>
  <si>
    <t>2.2.2</t>
  </si>
  <si>
    <t>Supabase Storage Integration</t>
  </si>
  <si>
    <t>Storage</t>
  </si>
  <si>
    <t>2.3.1</t>
  </si>
  <si>
    <t>Gemini LLM Integration</t>
  </si>
  <si>
    <t>AI</t>
  </si>
  <si>
    <t>2.3.2</t>
  </si>
  <si>
    <t>RAG Retrieval Logic</t>
  </si>
  <si>
    <t>2.3.3</t>
  </si>
  <si>
    <t>API Services</t>
  </si>
  <si>
    <t>All Members</t>
  </si>
  <si>
    <t>3.1</t>
  </si>
  <si>
    <t>Unit &amp; Integration Testing</t>
  </si>
  <si>
    <t>Testing</t>
  </si>
  <si>
    <t>3.2</t>
  </si>
  <si>
    <t>User Acceptance Testing</t>
  </si>
  <si>
    <t>3.3</t>
  </si>
  <si>
    <t>CI/CD Pipeline &amp; Deployment</t>
  </si>
  <si>
    <t>Deployment</t>
  </si>
  <si>
    <t>T.P. / S.P.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</si>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</sst>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0.0"/>
      <color rgb="FFFFFFFF"/>
      <name val="Arial"/>
    </font>
    <font>
      <b/>
      <sz val="10.0"/>
      <color rgb="FF1F3864"/>
      <name val="Arial"/>
    </font>
    <font>
      <b/>
      <sz val="10.0"/>
      <color rgb="FF375623"/>
      <name val="Arial"/>
    </font>
    <font>
      <sz val="10.0"/>
      <color rgb="FF000000"/>
      <name val="Arial"/>
    </font>
    <font>
      <b/>
      <sz val="10.0"/>
      <color rgb="FF000000"/>
      <name val="Arial"/>
    </font>
    <font>
      <b/>
      <sz val="10.0"/>
      <color rgb="FFC55A11"/>
      <name val="Arial"/>
    </font>
    <font>
      <sz val="10.0"/>
      <color rgb="FF1A1A1A"/>
      <name val="Arial"/>
    </font>
    <font>
      <b/>
      <sz val="11.0"/>
      <color rgb="FFFFFFFF"/>
      <name val="Arial"/>
    </font>
    <font>
      <sz val="11.0"/>
      <color theme="1"/>
      <name val="Calibri"/>
    </font>
  </fonts>
  <fills count="22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5797"/>
        <bgColor rgb="FF2E5797"/>
      </patternFill>
    </fill>
    <fill>
      <patternFill patternType="solid">
        <fgColor rgb="FF375623"/>
        <bgColor rgb="FF375623"/>
      </patternFill>
    </fill>
    <fill>
      <patternFill patternType="solid">
        <fgColor rgb="FFC55A11"/>
        <bgColor rgb="FFC55A11"/>
      </patternFill>
    </fill>
    <fill>
      <patternFill patternType="solid">
        <fgColor rgb="FFBDD7EE"/>
        <bgColor rgb="FFBDD7EE"/>
      </patternFill>
    </fill>
    <fill>
      <patternFill patternType="solid">
        <fgColor rgb="FFE2EFDA"/>
        <bgColor rgb="FFE2EFDA"/>
      </patternFill>
    </fill>
    <fill>
      <patternFill patternType="solid">
        <fgColor rgb="FFF5F8FF"/>
        <bgColor rgb="FFF5F8FF"/>
      </patternFill>
    </fill>
    <fill>
      <patternFill patternType="solid">
        <fgColor rgb="FFEAF2FF"/>
        <bgColor rgb="FFEAF2FF"/>
      </patternFill>
    </fill>
    <fill>
      <patternFill patternType="solid">
        <fgColor rgb="FFEAFAEE"/>
        <bgColor rgb="FFEAFAEE"/>
      </patternFill>
    </fill>
    <fill>
      <patternFill patternType="solid">
        <fgColor rgb="FFFCE4D6"/>
        <bgColor rgb="FFFCE4D6"/>
      </patternFill>
    </fill>
    <fill>
      <patternFill patternType="solid">
        <fgColor rgb="FFDDEEFF"/>
        <bgColor rgb="FFDDEEFF"/>
      </patternFill>
    </fill>
    <fill>
      <patternFill patternType="solid">
        <fgColor rgb="FFFFFFFF"/>
        <bgColor rgb="FFFFFFFF"/>
      </patternFill>
    </fill>
    <fill>
      <patternFill patternType="solid">
        <fgColor rgb="FFF0F6FF"/>
        <bgColor rgb="FFF0F6FF"/>
      </patternFill>
    </fill>
    <fill>
      <patternFill patternType="solid">
        <fgColor rgb="FFF2FCF5"/>
        <bgColor rgb="FFF2FCF5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C8D0DA"/>
      </left>
      <right style="thin">
        <color rgb="FFC8D0DA"/>
      </right>
      <top style="thin">
        <color rgb="FFC8D0DA"/>
      </top>
      <bottom style="thin">
        <color rgb="FFC8D0DA"/>
      </bottom>
    </border>
    <border>
      <left style="thin">
        <color rgb="FFC9D1DA"/>
      </left>
      <right style="thin">
        <color rgb="FFC9D1DA"/>
      </right>
      <top style="thin">
        <color rgb="FFC9D1DA"/>
      </top>
      <bottom style="thin">
        <color rgb="FFC9D1DA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5" fillId="3" fontId="3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5" fillId="4" fontId="3" numFmtId="0" xfId="0" applyAlignment="1" applyBorder="1" applyFill="1" applyFont="1">
      <alignment horizontal="center" shrinkToFit="0" vertical="center" wrapText="1"/>
    </xf>
    <xf borderId="4" fillId="5" fontId="3" numFmtId="0" xfId="0" applyAlignment="1" applyBorder="1" applyFill="1" applyFont="1">
      <alignment horizontal="center" shrinkToFit="0" vertical="center" wrapText="1"/>
    </xf>
    <xf borderId="4" fillId="2" fontId="3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9" fillId="6" fontId="4" numFmtId="0" xfId="0" applyAlignment="1" applyBorder="1" applyFill="1" applyFont="1">
      <alignment horizontal="center" shrinkToFit="0" vertical="center" wrapText="1"/>
    </xf>
    <xf borderId="9" fillId="7" fontId="5" numFmtId="0" xfId="0" applyAlignment="1" applyBorder="1" applyFill="1" applyFont="1">
      <alignment horizontal="center" shrinkToFit="0" vertical="center" wrapText="1"/>
    </xf>
    <xf borderId="9" fillId="8" fontId="6" numFmtId="0" xfId="0" applyAlignment="1" applyBorder="1" applyFill="1" applyFont="1">
      <alignment horizontal="center" shrinkToFit="0" vertical="center" wrapText="1"/>
    </xf>
    <xf borderId="9" fillId="8" fontId="6" numFmtId="0" xfId="0" applyAlignment="1" applyBorder="1" applyFont="1">
      <alignment horizontal="left" shrinkToFit="0" vertical="center" wrapText="1"/>
    </xf>
    <xf borderId="9" fillId="9" fontId="6" numFmtId="0" xfId="0" applyAlignment="1" applyBorder="1" applyFill="1" applyFont="1">
      <alignment horizontal="center" shrinkToFit="0" vertical="center" wrapText="1"/>
    </xf>
    <xf borderId="9" fillId="6" fontId="7" numFmtId="0" xfId="0" applyAlignment="1" applyBorder="1" applyFont="1">
      <alignment horizontal="center" shrinkToFit="0" vertical="center" wrapText="1"/>
    </xf>
    <xf borderId="9" fillId="10" fontId="6" numFmtId="0" xfId="0" applyAlignment="1" applyBorder="1" applyFill="1" applyFont="1">
      <alignment horizontal="center" shrinkToFit="0" vertical="center" wrapText="1"/>
    </xf>
    <xf borderId="9" fillId="7" fontId="7" numFmtId="0" xfId="0" applyAlignment="1" applyBorder="1" applyFont="1">
      <alignment horizontal="center" shrinkToFit="0" vertical="center" wrapText="1"/>
    </xf>
    <xf borderId="9" fillId="11" fontId="8" numFmtId="0" xfId="0" applyAlignment="1" applyBorder="1" applyFill="1" applyFont="1">
      <alignment horizontal="center" shrinkToFit="0" vertical="center" wrapText="1"/>
    </xf>
    <xf borderId="9" fillId="12" fontId="6" numFmtId="0" xfId="0" applyAlignment="1" applyBorder="1" applyFill="1" applyFont="1">
      <alignment horizontal="center" shrinkToFit="0" vertical="center" wrapText="1"/>
    </xf>
    <xf borderId="9" fillId="13" fontId="6" numFmtId="0" xfId="0" applyAlignment="1" applyBorder="1" applyFill="1" applyFont="1">
      <alignment horizontal="center" shrinkToFit="0" vertical="center" wrapText="1"/>
    </xf>
    <xf borderId="9" fillId="13" fontId="6" numFmtId="0" xfId="0" applyAlignment="1" applyBorder="1" applyFont="1">
      <alignment horizontal="left" shrinkToFit="0" vertical="center" wrapText="1"/>
    </xf>
    <xf borderId="9" fillId="14" fontId="6" numFmtId="0" xfId="0" applyAlignment="1" applyBorder="1" applyFill="1" applyFont="1">
      <alignment horizontal="center" shrinkToFit="0" vertical="center" wrapText="1"/>
    </xf>
    <xf borderId="9" fillId="15" fontId="6" numFmtId="0" xfId="0" applyAlignment="1" applyBorder="1" applyFill="1" applyFont="1">
      <alignment horizontal="center" shrinkToFit="0" vertical="center" wrapText="1"/>
    </xf>
    <xf borderId="10" fillId="16" fontId="9" numFmtId="0" xfId="0" applyAlignment="1" applyBorder="1" applyFill="1" applyFont="1">
      <alignment horizontal="center" vertical="center"/>
    </xf>
    <xf borderId="10" fillId="16" fontId="9" numFmtId="0" xfId="0" applyAlignment="1" applyBorder="1" applyFont="1">
      <alignment vertical="center"/>
    </xf>
    <xf borderId="9" fillId="14" fontId="6" numFmtId="0" xfId="0" applyAlignment="1" applyBorder="1" applyFont="1">
      <alignment horizontal="center" readingOrder="0" shrinkToFit="0" vertical="center" wrapText="1"/>
    </xf>
    <xf borderId="9" fillId="6" fontId="7" numFmtId="0" xfId="0" applyAlignment="1" applyBorder="1" applyFont="1">
      <alignment horizontal="center" readingOrder="0" shrinkToFit="0" vertical="center" wrapText="1"/>
    </xf>
    <xf borderId="9" fillId="15" fontId="6" numFmtId="0" xfId="0" applyAlignment="1" applyBorder="1" applyFont="1">
      <alignment horizontal="center" readingOrder="0" shrinkToFit="0" vertical="center" wrapText="1"/>
    </xf>
    <xf borderId="9" fillId="7" fontId="7" numFmtId="0" xfId="0" applyAlignment="1" applyBorder="1" applyFont="1">
      <alignment horizontal="center" readingOrder="0" shrinkToFit="0" vertical="center" wrapText="1"/>
    </xf>
    <xf borderId="9" fillId="11" fontId="8" numFmtId="0" xfId="0" applyAlignment="1" applyBorder="1" applyFont="1">
      <alignment horizontal="center" readingOrder="0" shrinkToFit="0" vertical="center" wrapText="1"/>
    </xf>
    <xf borderId="9" fillId="12" fontId="6" numFmtId="0" xfId="0" applyAlignment="1" applyBorder="1" applyFont="1">
      <alignment horizontal="center" readingOrder="0" shrinkToFit="0" vertical="center" wrapText="1"/>
    </xf>
    <xf borderId="9" fillId="13" fontId="6" numFmtId="0" xfId="0" applyAlignment="1" applyBorder="1" applyFont="1">
      <alignment horizontal="center" readingOrder="0" shrinkToFit="0" vertical="center" wrapText="1"/>
    </xf>
    <xf borderId="10" fillId="16" fontId="6" numFmtId="0" xfId="0" applyAlignment="1" applyBorder="1" applyFont="1">
      <alignment horizontal="center" vertical="center"/>
    </xf>
    <xf borderId="10" fillId="16" fontId="6" numFmtId="0" xfId="0" applyAlignment="1" applyBorder="1" applyFont="1">
      <alignment vertical="center"/>
    </xf>
    <xf borderId="9" fillId="9" fontId="6" numFmtId="0" xfId="0" applyAlignment="1" applyBorder="1" applyFont="1">
      <alignment horizontal="center" readingOrder="0" shrinkToFit="0" vertical="center" wrapText="1"/>
    </xf>
    <xf borderId="9" fillId="10" fontId="6" numFmtId="0" xfId="0" applyAlignment="1" applyBorder="1" applyFont="1">
      <alignment horizontal="center" readingOrder="0" shrinkToFit="0" vertical="center" wrapText="1"/>
    </xf>
    <xf borderId="9" fillId="8" fontId="6" numFmtId="0" xfId="0" applyAlignment="1" applyBorder="1" applyFont="1">
      <alignment horizontal="center" readingOrder="0" shrinkToFit="0" vertical="center" wrapText="1"/>
    </xf>
    <xf borderId="11" fillId="16" fontId="6" numFmtId="0" xfId="0" applyAlignment="1" applyBorder="1" applyFont="1">
      <alignment horizontal="center" vertical="center"/>
    </xf>
    <xf borderId="11" fillId="16" fontId="6" numFmtId="0" xfId="0" applyAlignment="1" applyBorder="1" applyFont="1">
      <alignment shrinkToFit="0" vertical="center" wrapText="0"/>
    </xf>
    <xf borderId="10" fillId="17" fontId="6" numFmtId="0" xfId="0" applyAlignment="1" applyBorder="1" applyFill="1" applyFont="1">
      <alignment horizontal="center" vertical="center"/>
    </xf>
    <xf borderId="10" fillId="17" fontId="6" numFmtId="0" xfId="0" applyAlignment="1" applyBorder="1" applyFont="1">
      <alignment vertical="center"/>
    </xf>
    <xf borderId="9" fillId="18" fontId="6" numFmtId="0" xfId="0" applyAlignment="1" applyBorder="1" applyFill="1" applyFont="1">
      <alignment horizontal="center" shrinkToFit="0" vertical="center" wrapText="1"/>
    </xf>
    <xf borderId="9" fillId="17" fontId="6" numFmtId="0" xfId="0" applyAlignment="1" applyBorder="1" applyFont="1">
      <alignment horizontal="center" shrinkToFit="0" vertical="center" wrapText="1"/>
    </xf>
    <xf borderId="9" fillId="17" fontId="6" numFmtId="0" xfId="0" applyAlignment="1" applyBorder="1" applyFont="1">
      <alignment horizontal="left" readingOrder="0" shrinkToFit="0" vertical="center" wrapText="1"/>
    </xf>
    <xf borderId="9" fillId="19" fontId="6" numFmtId="0" xfId="0" applyAlignment="1" applyBorder="1" applyFill="1" applyFont="1">
      <alignment horizontal="center" shrinkToFit="0" vertical="center" wrapText="1"/>
    </xf>
    <xf borderId="9" fillId="11" fontId="6" numFmtId="0" xfId="0" applyAlignment="1" applyBorder="1" applyFont="1">
      <alignment horizontal="center" shrinkToFit="0" vertical="center" wrapText="1"/>
    </xf>
    <xf borderId="9" fillId="20" fontId="6" numFmtId="0" xfId="0" applyAlignment="1" applyBorder="1" applyFill="1" applyFont="1">
      <alignment horizontal="center" shrinkToFit="0" vertical="center" wrapText="1"/>
    </xf>
    <xf borderId="9" fillId="21" fontId="6" numFmtId="0" xfId="0" applyAlignment="1" applyBorder="1" applyFill="1" applyFont="1">
      <alignment horizontal="center" shrinkToFit="0" vertical="center" wrapText="1"/>
    </xf>
    <xf borderId="5" fillId="2" fontId="10" numFmtId="0" xfId="0" applyAlignment="1" applyBorder="1" applyFont="1">
      <alignment horizontal="center" shrinkToFit="0" vertical="center" wrapText="1"/>
    </xf>
    <xf borderId="9" fillId="3" fontId="3" numFmtId="0" xfId="0" applyAlignment="1" applyBorder="1" applyFont="1">
      <alignment horizontal="center" shrinkToFit="0" vertical="center" wrapText="1"/>
    </xf>
    <xf borderId="9" fillId="4" fontId="3" numFmtId="0" xfId="0" applyAlignment="1" applyBorder="1" applyFont="1">
      <alignment horizontal="center" shrinkToFit="0" vertical="center" wrapText="1"/>
    </xf>
    <xf borderId="9" fillId="4" fontId="3" numFmtId="0" xfId="0" applyAlignment="1" applyBorder="1" applyFont="1">
      <alignment horizontal="center" readingOrder="0" shrinkToFit="0" vertical="center" wrapText="1"/>
    </xf>
    <xf borderId="9" fillId="5" fontId="3" numFmtId="0" xfId="0" applyAlignment="1" applyBorder="1" applyFont="1">
      <alignment horizontal="center" readingOrder="0" shrinkToFit="0" vertical="center" wrapText="1"/>
    </xf>
    <xf borderId="9" fillId="2" fontId="1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8.0"/>
    <col customWidth="1" min="2" max="2" width="34.0"/>
    <col customWidth="1" min="3" max="14" width="7.0"/>
    <col customWidth="1" min="15" max="15" width="11.0"/>
    <col customWidth="1" min="16" max="17" width="16.0"/>
    <col customWidth="1" min="18" max="26" width="8.71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3" ht="30.0" customHeight="1">
      <c r="A3" s="4" t="s">
        <v>1</v>
      </c>
      <c r="B3" s="4" t="s">
        <v>2</v>
      </c>
      <c r="C3" s="5" t="s">
        <v>3</v>
      </c>
      <c r="D3" s="6"/>
      <c r="E3" s="6"/>
      <c r="F3" s="6"/>
      <c r="G3" s="6"/>
      <c r="H3" s="7"/>
      <c r="I3" s="8" t="s">
        <v>4</v>
      </c>
      <c r="J3" s="6"/>
      <c r="K3" s="6"/>
      <c r="L3" s="6"/>
      <c r="M3" s="6"/>
      <c r="N3" s="7"/>
      <c r="O3" s="9" t="s">
        <v>5</v>
      </c>
      <c r="P3" s="10" t="s">
        <v>6</v>
      </c>
      <c r="Q3" s="10" t="s">
        <v>7</v>
      </c>
    </row>
    <row r="4" ht="21.75" customHeight="1">
      <c r="A4" s="11"/>
      <c r="B4" s="11"/>
      <c r="C4" s="12" t="s">
        <v>8</v>
      </c>
      <c r="D4" s="12" t="s">
        <v>9</v>
      </c>
      <c r="E4" s="12" t="s">
        <v>10</v>
      </c>
      <c r="F4" s="12" t="s">
        <v>11</v>
      </c>
      <c r="G4" s="12" t="s">
        <v>12</v>
      </c>
      <c r="H4" s="12" t="s">
        <v>13</v>
      </c>
      <c r="I4" s="13" t="s">
        <v>8</v>
      </c>
      <c r="J4" s="13" t="s">
        <v>9</v>
      </c>
      <c r="K4" s="13" t="s">
        <v>10</v>
      </c>
      <c r="L4" s="13" t="s">
        <v>11</v>
      </c>
      <c r="M4" s="13" t="s">
        <v>12</v>
      </c>
      <c r="N4" s="13" t="s">
        <v>13</v>
      </c>
      <c r="O4" s="11"/>
      <c r="P4" s="11"/>
      <c r="Q4" s="11"/>
    </row>
    <row r="5" ht="18.0" customHeight="1">
      <c r="A5" s="14" t="s">
        <v>14</v>
      </c>
      <c r="B5" s="15" t="s">
        <v>15</v>
      </c>
      <c r="C5" s="16">
        <v>5.0</v>
      </c>
      <c r="D5" s="16">
        <v>4.0</v>
      </c>
      <c r="E5" s="16">
        <v>6.0</v>
      </c>
      <c r="F5" s="16">
        <v>5.0</v>
      </c>
      <c r="G5" s="16">
        <v>5.0</v>
      </c>
      <c r="H5" s="17">
        <f t="shared" ref="H5:H28" si="1">AVERAGE(C5:G5)</f>
        <v>5</v>
      </c>
      <c r="I5" s="18">
        <v>5.0</v>
      </c>
      <c r="J5" s="18">
        <v>5.0</v>
      </c>
      <c r="K5" s="18">
        <v>5.0</v>
      </c>
      <c r="L5" s="18">
        <v>5.0</v>
      </c>
      <c r="M5" s="18">
        <v>5.0</v>
      </c>
      <c r="N5" s="19">
        <f t="shared" ref="N5:N28" si="2">AVERAGE(I5:M5)</f>
        <v>5</v>
      </c>
      <c r="O5" s="20">
        <v>5.0</v>
      </c>
      <c r="P5" s="21" t="s">
        <v>16</v>
      </c>
      <c r="Q5" s="14" t="s">
        <v>8</v>
      </c>
    </row>
    <row r="6" ht="18.0" customHeight="1">
      <c r="A6" s="22" t="s">
        <v>17</v>
      </c>
      <c r="B6" s="23" t="s">
        <v>18</v>
      </c>
      <c r="C6" s="24">
        <v>7.0</v>
      </c>
      <c r="D6" s="24">
        <v>5.0</v>
      </c>
      <c r="E6" s="24">
        <v>6.0</v>
      </c>
      <c r="F6" s="24">
        <v>6.0</v>
      </c>
      <c r="G6" s="24">
        <v>6.0</v>
      </c>
      <c r="H6" s="17">
        <f t="shared" si="1"/>
        <v>6</v>
      </c>
      <c r="I6" s="25">
        <v>6.0</v>
      </c>
      <c r="J6" s="25">
        <v>7.0</v>
      </c>
      <c r="K6" s="25">
        <v>6.0</v>
      </c>
      <c r="L6" s="25">
        <v>7.0</v>
      </c>
      <c r="M6" s="25">
        <v>6.0</v>
      </c>
      <c r="N6" s="19">
        <f t="shared" si="2"/>
        <v>6.4</v>
      </c>
      <c r="O6" s="20">
        <v>7.0</v>
      </c>
      <c r="P6" s="21" t="s">
        <v>16</v>
      </c>
      <c r="Q6" s="22" t="s">
        <v>9</v>
      </c>
    </row>
    <row r="7" ht="18.0" customHeight="1">
      <c r="A7" s="26" t="s">
        <v>19</v>
      </c>
      <c r="B7" s="27" t="s">
        <v>20</v>
      </c>
      <c r="C7" s="28">
        <v>1.0</v>
      </c>
      <c r="D7" s="28">
        <v>2.0</v>
      </c>
      <c r="E7" s="28">
        <v>3.0</v>
      </c>
      <c r="F7" s="28">
        <v>2.0</v>
      </c>
      <c r="G7" s="28">
        <v>3.0</v>
      </c>
      <c r="H7" s="29">
        <f t="shared" si="1"/>
        <v>2.2</v>
      </c>
      <c r="I7" s="30">
        <v>2.0</v>
      </c>
      <c r="J7" s="30">
        <v>2.0</v>
      </c>
      <c r="K7" s="30">
        <v>3.0</v>
      </c>
      <c r="L7" s="30">
        <v>3.0</v>
      </c>
      <c r="M7" s="30">
        <v>3.0</v>
      </c>
      <c r="N7" s="31">
        <f t="shared" si="2"/>
        <v>2.6</v>
      </c>
      <c r="O7" s="32">
        <v>3.0</v>
      </c>
      <c r="P7" s="33" t="s">
        <v>16</v>
      </c>
      <c r="Q7" s="34" t="s">
        <v>11</v>
      </c>
    </row>
    <row r="8" ht="18.0" customHeight="1">
      <c r="A8" s="14" t="s">
        <v>21</v>
      </c>
      <c r="B8" s="15" t="s">
        <v>22</v>
      </c>
      <c r="C8" s="16">
        <v>13.0</v>
      </c>
      <c r="D8" s="16">
        <v>15.0</v>
      </c>
      <c r="E8" s="16">
        <v>14.0</v>
      </c>
      <c r="F8" s="16">
        <v>10.0</v>
      </c>
      <c r="G8" s="16">
        <v>14.0</v>
      </c>
      <c r="H8" s="17">
        <f t="shared" si="1"/>
        <v>13.2</v>
      </c>
      <c r="I8" s="18">
        <v>11.0</v>
      </c>
      <c r="J8" s="18">
        <v>12.0</v>
      </c>
      <c r="K8" s="18">
        <v>12.0</v>
      </c>
      <c r="L8" s="18">
        <v>12.0</v>
      </c>
      <c r="M8" s="18">
        <v>12.0</v>
      </c>
      <c r="N8" s="19">
        <f t="shared" si="2"/>
        <v>11.8</v>
      </c>
      <c r="O8" s="20">
        <v>12.0</v>
      </c>
      <c r="P8" s="21" t="s">
        <v>16</v>
      </c>
      <c r="Q8" s="14" t="s">
        <v>23</v>
      </c>
    </row>
    <row r="9" ht="18.0" customHeight="1">
      <c r="A9" s="22" t="s">
        <v>24</v>
      </c>
      <c r="B9" s="23" t="s">
        <v>25</v>
      </c>
      <c r="C9" s="24">
        <v>7.0</v>
      </c>
      <c r="D9" s="24">
        <v>10.0</v>
      </c>
      <c r="E9" s="24">
        <v>8.0</v>
      </c>
      <c r="F9" s="24">
        <v>9.0</v>
      </c>
      <c r="G9" s="24">
        <v>5.0</v>
      </c>
      <c r="H9" s="17">
        <f t="shared" si="1"/>
        <v>7.8</v>
      </c>
      <c r="I9" s="25">
        <v>7.0</v>
      </c>
      <c r="J9" s="25">
        <v>9.0</v>
      </c>
      <c r="K9" s="25">
        <v>8.0</v>
      </c>
      <c r="L9" s="25">
        <v>8.0</v>
      </c>
      <c r="M9" s="25">
        <v>8.0</v>
      </c>
      <c r="N9" s="19">
        <f t="shared" si="2"/>
        <v>8</v>
      </c>
      <c r="O9" s="20">
        <v>8.0</v>
      </c>
      <c r="P9" s="21" t="s">
        <v>16</v>
      </c>
      <c r="Q9" s="22" t="s">
        <v>9</v>
      </c>
    </row>
    <row r="10" ht="18.0" customHeight="1">
      <c r="A10" s="14" t="s">
        <v>26</v>
      </c>
      <c r="B10" s="15" t="s">
        <v>27</v>
      </c>
      <c r="C10" s="16">
        <v>7.0</v>
      </c>
      <c r="D10" s="16">
        <v>8.0</v>
      </c>
      <c r="E10" s="16">
        <v>8.0</v>
      </c>
      <c r="F10" s="16">
        <v>5.0</v>
      </c>
      <c r="G10" s="16">
        <v>5.0</v>
      </c>
      <c r="H10" s="17">
        <f t="shared" si="1"/>
        <v>6.6</v>
      </c>
      <c r="I10" s="18">
        <v>7.0</v>
      </c>
      <c r="J10" s="18">
        <v>7.0</v>
      </c>
      <c r="K10" s="18">
        <v>7.0</v>
      </c>
      <c r="L10" s="18">
        <v>6.0</v>
      </c>
      <c r="M10" s="18">
        <v>7.0</v>
      </c>
      <c r="N10" s="19">
        <f t="shared" si="2"/>
        <v>6.8</v>
      </c>
      <c r="O10" s="20">
        <v>7.0</v>
      </c>
      <c r="P10" s="21" t="s">
        <v>28</v>
      </c>
      <c r="Q10" s="14" t="s">
        <v>10</v>
      </c>
    </row>
    <row r="11" ht="18.0" customHeight="1">
      <c r="A11" s="22" t="s">
        <v>29</v>
      </c>
      <c r="B11" s="23" t="s">
        <v>30</v>
      </c>
      <c r="C11" s="24">
        <v>5.0</v>
      </c>
      <c r="D11" s="24">
        <v>6.0</v>
      </c>
      <c r="E11" s="24">
        <v>4.0</v>
      </c>
      <c r="F11" s="24">
        <v>3.0</v>
      </c>
      <c r="G11" s="24">
        <v>5.0</v>
      </c>
      <c r="H11" s="17">
        <f t="shared" si="1"/>
        <v>4.6</v>
      </c>
      <c r="I11" s="25">
        <v>5.0</v>
      </c>
      <c r="J11" s="25">
        <v>4.0</v>
      </c>
      <c r="K11" s="25">
        <v>4.0</v>
      </c>
      <c r="L11" s="25">
        <v>3.0</v>
      </c>
      <c r="M11" s="25">
        <v>4.0</v>
      </c>
      <c r="N11" s="19">
        <f t="shared" si="2"/>
        <v>4</v>
      </c>
      <c r="O11" s="20">
        <v>4.0</v>
      </c>
      <c r="P11" s="21" t="s">
        <v>16</v>
      </c>
      <c r="Q11" s="22" t="s">
        <v>11</v>
      </c>
    </row>
    <row r="12" ht="18.0" customHeight="1">
      <c r="A12" s="14" t="s">
        <v>31</v>
      </c>
      <c r="B12" s="15" t="s">
        <v>32</v>
      </c>
      <c r="C12" s="16">
        <v>3.0</v>
      </c>
      <c r="D12" s="16">
        <v>5.0</v>
      </c>
      <c r="E12" s="16">
        <v>4.0</v>
      </c>
      <c r="F12" s="16">
        <v>8.0</v>
      </c>
      <c r="G12" s="16">
        <v>4.0</v>
      </c>
      <c r="H12" s="17">
        <f t="shared" si="1"/>
        <v>4.8</v>
      </c>
      <c r="I12" s="18">
        <v>5.0</v>
      </c>
      <c r="J12" s="18">
        <v>4.0</v>
      </c>
      <c r="K12" s="18">
        <v>4.0</v>
      </c>
      <c r="L12" s="18">
        <v>5.0</v>
      </c>
      <c r="M12" s="18">
        <v>4.0</v>
      </c>
      <c r="N12" s="19">
        <f t="shared" si="2"/>
        <v>4.4</v>
      </c>
      <c r="O12" s="20">
        <v>5.0</v>
      </c>
      <c r="P12" s="21" t="s">
        <v>16</v>
      </c>
      <c r="Q12" s="14" t="s">
        <v>11</v>
      </c>
    </row>
    <row r="13" ht="18.0" customHeight="1">
      <c r="A13" s="35" t="s">
        <v>33</v>
      </c>
      <c r="B13" s="36" t="s">
        <v>34</v>
      </c>
      <c r="C13" s="37">
        <v>4.0</v>
      </c>
      <c r="D13" s="37">
        <v>5.0</v>
      </c>
      <c r="E13" s="37">
        <v>3.0</v>
      </c>
      <c r="F13" s="37">
        <v>4.0</v>
      </c>
      <c r="G13" s="37">
        <v>5.0</v>
      </c>
      <c r="H13" s="29">
        <f t="shared" si="1"/>
        <v>4.2</v>
      </c>
      <c r="I13" s="38">
        <v>5.0</v>
      </c>
      <c r="J13" s="38">
        <v>5.0</v>
      </c>
      <c r="K13" s="38">
        <v>4.0</v>
      </c>
      <c r="L13" s="38">
        <v>5.0</v>
      </c>
      <c r="M13" s="38">
        <v>5.0</v>
      </c>
      <c r="N13" s="31">
        <f t="shared" si="2"/>
        <v>4.8</v>
      </c>
      <c r="O13" s="32">
        <v>5.0</v>
      </c>
      <c r="P13" s="33" t="s">
        <v>35</v>
      </c>
      <c r="Q13" s="39" t="s">
        <v>36</v>
      </c>
    </row>
    <row r="14" ht="18.0" customHeight="1">
      <c r="A14" s="40" t="s">
        <v>37</v>
      </c>
      <c r="B14" s="41" t="s">
        <v>38</v>
      </c>
      <c r="C14" s="37">
        <v>5.0</v>
      </c>
      <c r="D14" s="37">
        <v>6.0</v>
      </c>
      <c r="E14" s="37">
        <v>5.0</v>
      </c>
      <c r="F14" s="37">
        <v>4.0</v>
      </c>
      <c r="G14" s="37">
        <v>5.0</v>
      </c>
      <c r="H14" s="29">
        <f t="shared" si="1"/>
        <v>5</v>
      </c>
      <c r="I14" s="38">
        <v>5.0</v>
      </c>
      <c r="J14" s="38">
        <v>4.0</v>
      </c>
      <c r="K14" s="38">
        <v>5.0</v>
      </c>
      <c r="L14" s="38">
        <v>5.0</v>
      </c>
      <c r="M14" s="38">
        <v>5.0</v>
      </c>
      <c r="N14" s="31">
        <f t="shared" si="2"/>
        <v>4.8</v>
      </c>
      <c r="O14" s="32">
        <v>5.0</v>
      </c>
      <c r="P14" s="33" t="s">
        <v>16</v>
      </c>
      <c r="Q14" s="39" t="s">
        <v>11</v>
      </c>
    </row>
    <row r="15" ht="18.0" customHeight="1">
      <c r="A15" s="42" t="s">
        <v>39</v>
      </c>
      <c r="B15" s="43" t="s">
        <v>40</v>
      </c>
      <c r="C15" s="37">
        <v>6.0</v>
      </c>
      <c r="D15" s="37">
        <v>6.0</v>
      </c>
      <c r="E15" s="37">
        <v>5.0</v>
      </c>
      <c r="F15" s="37">
        <v>4.0</v>
      </c>
      <c r="G15" s="37">
        <v>5.0</v>
      </c>
      <c r="H15" s="29">
        <f t="shared" si="1"/>
        <v>5.2</v>
      </c>
      <c r="I15" s="38">
        <v>4.0</v>
      </c>
      <c r="J15" s="38">
        <v>5.0</v>
      </c>
      <c r="K15" s="38">
        <v>4.0</v>
      </c>
      <c r="L15" s="38">
        <v>4.0</v>
      </c>
      <c r="M15" s="38">
        <v>5.0</v>
      </c>
      <c r="N15" s="31">
        <f t="shared" si="2"/>
        <v>4.4</v>
      </c>
      <c r="O15" s="32">
        <v>5.0</v>
      </c>
      <c r="P15" s="33" t="s">
        <v>35</v>
      </c>
      <c r="Q15" s="39" t="s">
        <v>12</v>
      </c>
    </row>
    <row r="16" ht="18.0" customHeight="1">
      <c r="A16" s="22" t="s">
        <v>41</v>
      </c>
      <c r="B16" s="23" t="s">
        <v>42</v>
      </c>
      <c r="C16" s="24">
        <v>7.0</v>
      </c>
      <c r="D16" s="24">
        <v>6.0</v>
      </c>
      <c r="E16" s="24">
        <v>6.0</v>
      </c>
      <c r="F16" s="24">
        <v>6.0</v>
      </c>
      <c r="G16" s="24">
        <v>6.0</v>
      </c>
      <c r="H16" s="17">
        <f t="shared" si="1"/>
        <v>6.2</v>
      </c>
      <c r="I16" s="25">
        <v>7.0</v>
      </c>
      <c r="J16" s="25">
        <v>6.0</v>
      </c>
      <c r="K16" s="25">
        <v>7.0</v>
      </c>
      <c r="L16" s="25">
        <v>8.0</v>
      </c>
      <c r="M16" s="25">
        <v>7.0</v>
      </c>
      <c r="N16" s="19">
        <f t="shared" si="2"/>
        <v>7</v>
      </c>
      <c r="O16" s="20">
        <v>7.0</v>
      </c>
      <c r="P16" s="44" t="s">
        <v>43</v>
      </c>
      <c r="Q16" s="22" t="s">
        <v>12</v>
      </c>
    </row>
    <row r="17" ht="18.0" customHeight="1">
      <c r="A17" s="45" t="s">
        <v>44</v>
      </c>
      <c r="B17" s="46" t="s">
        <v>45</v>
      </c>
      <c r="C17" s="16">
        <v>7.0</v>
      </c>
      <c r="D17" s="16">
        <v>7.0</v>
      </c>
      <c r="E17" s="16">
        <v>8.0</v>
      </c>
      <c r="F17" s="16">
        <v>8.0</v>
      </c>
      <c r="G17" s="16">
        <v>3.0</v>
      </c>
      <c r="H17" s="17">
        <f t="shared" si="1"/>
        <v>6.6</v>
      </c>
      <c r="I17" s="18">
        <v>7.0</v>
      </c>
      <c r="J17" s="18">
        <v>7.0</v>
      </c>
      <c r="K17" s="18">
        <v>7.0</v>
      </c>
      <c r="L17" s="18">
        <v>8.0</v>
      </c>
      <c r="M17" s="18">
        <v>7.0</v>
      </c>
      <c r="N17" s="19">
        <f t="shared" si="2"/>
        <v>7.2</v>
      </c>
      <c r="O17" s="20">
        <v>8.0</v>
      </c>
      <c r="P17" s="44" t="s">
        <v>43</v>
      </c>
      <c r="Q17" s="14" t="s">
        <v>12</v>
      </c>
    </row>
    <row r="18" ht="18.0" customHeight="1">
      <c r="A18" s="22" t="s">
        <v>46</v>
      </c>
      <c r="B18" s="23" t="s">
        <v>47</v>
      </c>
      <c r="C18" s="24">
        <v>7.0</v>
      </c>
      <c r="D18" s="24">
        <v>7.0</v>
      </c>
      <c r="E18" s="24">
        <v>7.0</v>
      </c>
      <c r="F18" s="24">
        <v>7.0</v>
      </c>
      <c r="G18" s="24">
        <v>7.0</v>
      </c>
      <c r="H18" s="17">
        <f t="shared" si="1"/>
        <v>7</v>
      </c>
      <c r="I18" s="25">
        <v>7.0</v>
      </c>
      <c r="J18" s="25">
        <v>7.0</v>
      </c>
      <c r="K18" s="25">
        <v>7.0</v>
      </c>
      <c r="L18" s="25">
        <v>6.0</v>
      </c>
      <c r="M18" s="25">
        <v>7.0</v>
      </c>
      <c r="N18" s="19">
        <f t="shared" si="2"/>
        <v>6.8</v>
      </c>
      <c r="O18" s="20">
        <v>7.0</v>
      </c>
      <c r="P18" s="45" t="s">
        <v>48</v>
      </c>
      <c r="Q18" s="22" t="s">
        <v>49</v>
      </c>
    </row>
    <row r="19" ht="18.0" customHeight="1">
      <c r="A19" s="14" t="s">
        <v>50</v>
      </c>
      <c r="B19" s="15" t="s">
        <v>51</v>
      </c>
      <c r="C19" s="16">
        <v>5.0</v>
      </c>
      <c r="D19" s="16">
        <v>5.0</v>
      </c>
      <c r="E19" s="16">
        <v>6.0</v>
      </c>
      <c r="F19" s="16">
        <v>5.0</v>
      </c>
      <c r="G19" s="16">
        <v>3.0</v>
      </c>
      <c r="H19" s="17">
        <f t="shared" si="1"/>
        <v>4.8</v>
      </c>
      <c r="I19" s="18">
        <v>5.0</v>
      </c>
      <c r="J19" s="18">
        <v>5.0</v>
      </c>
      <c r="K19" s="18">
        <v>6.0</v>
      </c>
      <c r="L19" s="18">
        <v>6.0</v>
      </c>
      <c r="M19" s="18">
        <v>6.0</v>
      </c>
      <c r="N19" s="19">
        <f t="shared" si="2"/>
        <v>5.6</v>
      </c>
      <c r="O19" s="20">
        <v>6.0</v>
      </c>
      <c r="P19" s="45" t="s">
        <v>48</v>
      </c>
      <c r="Q19" s="14" t="s">
        <v>8</v>
      </c>
    </row>
    <row r="20" ht="18.0" customHeight="1">
      <c r="A20" s="22" t="s">
        <v>52</v>
      </c>
      <c r="B20" s="23" t="s">
        <v>53</v>
      </c>
      <c r="C20" s="24">
        <v>5.0</v>
      </c>
      <c r="D20" s="24">
        <v>5.0</v>
      </c>
      <c r="E20" s="24">
        <v>5.0</v>
      </c>
      <c r="F20" s="24">
        <v>4.0</v>
      </c>
      <c r="G20" s="24">
        <v>5.0</v>
      </c>
      <c r="H20" s="17">
        <f t="shared" si="1"/>
        <v>4.8</v>
      </c>
      <c r="I20" s="25">
        <v>5.0</v>
      </c>
      <c r="J20" s="25">
        <v>5.0</v>
      </c>
      <c r="K20" s="25">
        <v>5.0</v>
      </c>
      <c r="L20" s="25">
        <v>10.0</v>
      </c>
      <c r="M20" s="25">
        <v>6.0</v>
      </c>
      <c r="N20" s="19">
        <f t="shared" si="2"/>
        <v>6.2</v>
      </c>
      <c r="O20" s="20">
        <v>7.0</v>
      </c>
      <c r="P20" s="47" t="s">
        <v>54</v>
      </c>
      <c r="Q20" s="22" t="s">
        <v>8</v>
      </c>
    </row>
    <row r="21" ht="18.0" customHeight="1">
      <c r="A21" s="14" t="s">
        <v>55</v>
      </c>
      <c r="B21" s="15" t="s">
        <v>56</v>
      </c>
      <c r="C21" s="16">
        <v>5.0</v>
      </c>
      <c r="D21" s="16">
        <v>5.0</v>
      </c>
      <c r="E21" s="16">
        <v>5.0</v>
      </c>
      <c r="F21" s="16">
        <v>7.0</v>
      </c>
      <c r="G21" s="16">
        <v>5.0</v>
      </c>
      <c r="H21" s="17">
        <f t="shared" si="1"/>
        <v>5.4</v>
      </c>
      <c r="I21" s="18">
        <v>5.0</v>
      </c>
      <c r="J21" s="18">
        <v>5.0</v>
      </c>
      <c r="K21" s="18">
        <v>6.0</v>
      </c>
      <c r="L21" s="18">
        <v>12.0</v>
      </c>
      <c r="M21" s="18">
        <v>6.0</v>
      </c>
      <c r="N21" s="19">
        <f t="shared" si="2"/>
        <v>6.8</v>
      </c>
      <c r="O21" s="20">
        <v>7.0</v>
      </c>
      <c r="P21" s="47" t="s">
        <v>57</v>
      </c>
      <c r="Q21" s="14" t="s">
        <v>49</v>
      </c>
    </row>
    <row r="22" ht="18.0" customHeight="1">
      <c r="A22" s="22" t="s">
        <v>58</v>
      </c>
      <c r="B22" s="23" t="s">
        <v>59</v>
      </c>
      <c r="C22" s="24">
        <v>5.0</v>
      </c>
      <c r="D22" s="24">
        <v>7.0</v>
      </c>
      <c r="E22" s="24">
        <v>5.0</v>
      </c>
      <c r="F22" s="24">
        <v>4.0</v>
      </c>
      <c r="G22" s="24">
        <v>6.0</v>
      </c>
      <c r="H22" s="17">
        <f t="shared" si="1"/>
        <v>5.4</v>
      </c>
      <c r="I22" s="25">
        <v>7.0</v>
      </c>
      <c r="J22" s="25">
        <v>7.0</v>
      </c>
      <c r="K22" s="25">
        <v>7.0</v>
      </c>
      <c r="L22" s="25">
        <v>8.0</v>
      </c>
      <c r="M22" s="25">
        <v>7.0</v>
      </c>
      <c r="N22" s="19">
        <f t="shared" si="2"/>
        <v>7.2</v>
      </c>
      <c r="O22" s="20">
        <v>8.0</v>
      </c>
      <c r="P22" s="48" t="s">
        <v>60</v>
      </c>
      <c r="Q22" s="22" t="s">
        <v>23</v>
      </c>
    </row>
    <row r="23" ht="18.0" customHeight="1">
      <c r="A23" s="14" t="s">
        <v>61</v>
      </c>
      <c r="B23" s="15" t="s">
        <v>62</v>
      </c>
      <c r="C23" s="16">
        <v>11.0</v>
      </c>
      <c r="D23" s="16">
        <v>12.0</v>
      </c>
      <c r="E23" s="16">
        <v>12.0</v>
      </c>
      <c r="F23" s="16">
        <v>11.0</v>
      </c>
      <c r="G23" s="16">
        <v>12.0</v>
      </c>
      <c r="H23" s="17">
        <f t="shared" si="1"/>
        <v>11.6</v>
      </c>
      <c r="I23" s="18">
        <v>13.0</v>
      </c>
      <c r="J23" s="18">
        <v>12.0</v>
      </c>
      <c r="K23" s="18">
        <v>12.0</v>
      </c>
      <c r="L23" s="18">
        <v>7.0</v>
      </c>
      <c r="M23" s="18">
        <v>12.0</v>
      </c>
      <c r="N23" s="19">
        <f t="shared" si="2"/>
        <v>11.2</v>
      </c>
      <c r="O23" s="20">
        <v>12.0</v>
      </c>
      <c r="P23" s="48" t="s">
        <v>60</v>
      </c>
      <c r="Q23" s="14" t="s">
        <v>8</v>
      </c>
    </row>
    <row r="24" ht="18.0" customHeight="1">
      <c r="A24" s="22" t="s">
        <v>63</v>
      </c>
      <c r="B24" s="23" t="s">
        <v>64</v>
      </c>
      <c r="C24" s="24">
        <v>13.0</v>
      </c>
      <c r="D24" s="24">
        <v>12.0</v>
      </c>
      <c r="E24" s="24">
        <v>13.0</v>
      </c>
      <c r="F24" s="24">
        <v>12.0</v>
      </c>
      <c r="G24" s="24">
        <v>12.0</v>
      </c>
      <c r="H24" s="17">
        <f t="shared" si="1"/>
        <v>12.4</v>
      </c>
      <c r="I24" s="25">
        <v>11.0</v>
      </c>
      <c r="J24" s="25">
        <v>12.0</v>
      </c>
      <c r="K24" s="25">
        <v>12.0</v>
      </c>
      <c r="L24" s="25">
        <v>11.0</v>
      </c>
      <c r="M24" s="25">
        <v>12.0</v>
      </c>
      <c r="N24" s="19">
        <f t="shared" si="2"/>
        <v>11.6</v>
      </c>
      <c r="O24" s="20">
        <v>12.0</v>
      </c>
      <c r="P24" s="44" t="s">
        <v>35</v>
      </c>
      <c r="Q24" s="22" t="s">
        <v>65</v>
      </c>
    </row>
    <row r="25" ht="18.0" customHeight="1">
      <c r="A25" s="14" t="s">
        <v>66</v>
      </c>
      <c r="B25" s="15" t="s">
        <v>67</v>
      </c>
      <c r="C25" s="16">
        <v>7.0</v>
      </c>
      <c r="D25" s="16">
        <v>6.0</v>
      </c>
      <c r="E25" s="16">
        <v>7.0</v>
      </c>
      <c r="F25" s="16">
        <v>6.0</v>
      </c>
      <c r="G25" s="16">
        <v>7.0</v>
      </c>
      <c r="H25" s="17">
        <f t="shared" si="1"/>
        <v>6.6</v>
      </c>
      <c r="I25" s="18">
        <v>5.0</v>
      </c>
      <c r="J25" s="18">
        <v>6.0</v>
      </c>
      <c r="K25" s="18">
        <v>6.0</v>
      </c>
      <c r="L25" s="18">
        <v>6.0</v>
      </c>
      <c r="M25" s="18">
        <v>5.0</v>
      </c>
      <c r="N25" s="19">
        <f t="shared" si="2"/>
        <v>5.6</v>
      </c>
      <c r="O25" s="20">
        <v>6.0</v>
      </c>
      <c r="P25" s="49" t="s">
        <v>68</v>
      </c>
      <c r="Q25" s="14" t="s">
        <v>65</v>
      </c>
    </row>
    <row r="26" ht="18.0" customHeight="1">
      <c r="A26" s="22" t="s">
        <v>69</v>
      </c>
      <c r="B26" s="23" t="s">
        <v>70</v>
      </c>
      <c r="C26" s="24">
        <v>5.0</v>
      </c>
      <c r="D26" s="24">
        <v>5.0</v>
      </c>
      <c r="E26" s="24">
        <v>5.0</v>
      </c>
      <c r="F26" s="24">
        <v>5.0</v>
      </c>
      <c r="G26" s="24">
        <v>5.0</v>
      </c>
      <c r="H26" s="17">
        <f t="shared" si="1"/>
        <v>5</v>
      </c>
      <c r="I26" s="25">
        <v>5.0</v>
      </c>
      <c r="J26" s="25">
        <v>5.0</v>
      </c>
      <c r="K26" s="25">
        <v>5.0</v>
      </c>
      <c r="L26" s="25">
        <v>6.0</v>
      </c>
      <c r="M26" s="25">
        <v>5.0</v>
      </c>
      <c r="N26" s="19">
        <f t="shared" si="2"/>
        <v>5.2</v>
      </c>
      <c r="O26" s="20">
        <v>6.0</v>
      </c>
      <c r="P26" s="49" t="s">
        <v>68</v>
      </c>
      <c r="Q26" s="22" t="s">
        <v>65</v>
      </c>
    </row>
    <row r="27" ht="18.0" customHeight="1">
      <c r="A27" s="14" t="s">
        <v>71</v>
      </c>
      <c r="B27" s="15" t="s">
        <v>72</v>
      </c>
      <c r="C27" s="16">
        <v>5.0</v>
      </c>
      <c r="D27" s="16">
        <v>5.0</v>
      </c>
      <c r="E27" s="16">
        <v>5.0</v>
      </c>
      <c r="F27" s="16">
        <v>5.0</v>
      </c>
      <c r="G27" s="16">
        <v>5.0</v>
      </c>
      <c r="H27" s="17">
        <f t="shared" si="1"/>
        <v>5</v>
      </c>
      <c r="I27" s="18">
        <v>5.0</v>
      </c>
      <c r="J27" s="18">
        <v>5.0</v>
      </c>
      <c r="K27" s="18">
        <v>5.0</v>
      </c>
      <c r="L27" s="18">
        <v>6.0</v>
      </c>
      <c r="M27" s="18">
        <v>5.0</v>
      </c>
      <c r="N27" s="19">
        <f t="shared" si="2"/>
        <v>5.2</v>
      </c>
      <c r="O27" s="20">
        <v>6.0</v>
      </c>
      <c r="P27" s="50" t="s">
        <v>73</v>
      </c>
      <c r="Q27" s="14" t="s">
        <v>74</v>
      </c>
    </row>
    <row r="28" ht="21.75" customHeight="1">
      <c r="A28" s="51" t="s">
        <v>75</v>
      </c>
      <c r="B28" s="7"/>
      <c r="C28" s="52">
        <f t="shared" ref="C28:G28" si="3">SUM(C5:C27)</f>
        <v>145</v>
      </c>
      <c r="D28" s="52">
        <f t="shared" si="3"/>
        <v>154</v>
      </c>
      <c r="E28" s="52">
        <f t="shared" si="3"/>
        <v>150</v>
      </c>
      <c r="F28" s="52">
        <f t="shared" si="3"/>
        <v>140</v>
      </c>
      <c r="G28" s="52">
        <f t="shared" si="3"/>
        <v>138</v>
      </c>
      <c r="H28" s="52">
        <f t="shared" si="1"/>
        <v>145.4</v>
      </c>
      <c r="I28" s="53">
        <f t="shared" ref="I28:M28" si="4">SUM(I5:I27)</f>
        <v>144</v>
      </c>
      <c r="J28" s="54">
        <f t="shared" si="4"/>
        <v>146</v>
      </c>
      <c r="K28" s="54">
        <f t="shared" si="4"/>
        <v>147</v>
      </c>
      <c r="L28" s="54">
        <f t="shared" si="4"/>
        <v>157</v>
      </c>
      <c r="M28" s="54">
        <f t="shared" si="4"/>
        <v>149</v>
      </c>
      <c r="N28" s="54">
        <f t="shared" si="2"/>
        <v>148.6</v>
      </c>
      <c r="O28" s="55">
        <f>SUM(O5:O27)</f>
        <v>158</v>
      </c>
      <c r="P28" s="56"/>
      <c r="Q28" s="56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9">
    <mergeCell ref="B3:B4"/>
    <mergeCell ref="A28:B28"/>
    <mergeCell ref="A1:Q1"/>
    <mergeCell ref="A3:A4"/>
    <mergeCell ref="C3:H3"/>
    <mergeCell ref="I3:N3"/>
    <mergeCell ref="O3:O4"/>
    <mergeCell ref="P3:P4"/>
    <mergeCell ref="Q3:Q4"/>
  </mergeCells>
  <printOptions/>
  <pageMargins bottom="1.0" footer="0.0" header="0.0" left="0.75" right="0.75" top="1.0"/>
  <pageSetup orientation="landscape"/>
  <drawing r:id="rId1"/>
</worksheet>
</file>